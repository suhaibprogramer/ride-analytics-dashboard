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KPI Dashboard" sheetId="3" state="visible" r:id="rId5"/>
    <sheet name="Charts" sheetId="4" state="visible" r:id="rId6"/>
    <sheet name="Ins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<sst xmlns="http://schemas.openxmlformats.org/spreadsheetml/2006/main" count="1685" uniqueCount="349">
  <si>
    <t xml:space="preserve">Ride ID</t>
  </si>
  <si>
    <t xml:space="preserve">Date</t>
  </si>
  <si>
    <t xml:space="preserve">Pickup Location</t>
  </si>
  <si>
    <t xml:space="preserve">Drop-off Location</t>
  </si>
  <si>
    <t xml:space="preserve">Fare</t>
  </si>
  <si>
    <t xml:space="preserve">Payment Method</t>
  </si>
  <si>
    <t xml:space="preserve">Ride Status</t>
  </si>
  <si>
    <t xml:space="preserve">Rating</t>
  </si>
  <si>
    <t xml:space="preserve">R001</t>
  </si>
  <si>
    <t xml:space="preserve">21-08-2026</t>
  </si>
  <si>
    <t xml:space="preserve">Gulberg</t>
  </si>
  <si>
    <t xml:space="preserve">DHA</t>
  </si>
  <si>
    <t xml:space="preserve">713</t>
  </si>
  <si>
    <t xml:space="preserve">Cash</t>
  </si>
  <si>
    <t xml:space="preserve">Completed</t>
  </si>
  <si>
    <t xml:space="preserve">R002</t>
  </si>
  <si>
    <t xml:space="preserve">04-08-2026</t>
  </si>
  <si>
    <t xml:space="preserve">Askari</t>
  </si>
  <si>
    <t xml:space="preserve">215</t>
  </si>
  <si>
    <t xml:space="preserve">R003</t>
  </si>
  <si>
    <t xml:space="preserve">17-08-2026</t>
  </si>
  <si>
    <t xml:space="preserve">Lahore</t>
  </si>
  <si>
    <t xml:space="preserve">Cantt</t>
  </si>
  <si>
    <t xml:space="preserve">1009</t>
  </si>
  <si>
    <t xml:space="preserve">R004</t>
  </si>
  <si>
    <t xml:space="preserve">26-08-2026</t>
  </si>
  <si>
    <t xml:space="preserve">Model Town</t>
  </si>
  <si>
    <t xml:space="preserve">1015</t>
  </si>
  <si>
    <t xml:space="preserve">Card</t>
  </si>
  <si>
    <t xml:space="preserve">R005</t>
  </si>
  <si>
    <t xml:space="preserve">25-08-2026</t>
  </si>
  <si>
    <t xml:space="preserve">Bahria Town</t>
  </si>
  <si>
    <t xml:space="preserve">339</t>
  </si>
  <si>
    <t xml:space="preserve">R006</t>
  </si>
  <si>
    <t xml:space="preserve">20-08-2026</t>
  </si>
  <si>
    <t xml:space="preserve">Johar Town</t>
  </si>
  <si>
    <t xml:space="preserve">1090</t>
  </si>
  <si>
    <t xml:space="preserve">Wallet</t>
  </si>
  <si>
    <t xml:space="preserve">R007</t>
  </si>
  <si>
    <t xml:space="preserve">03-08-2026</t>
  </si>
  <si>
    <t xml:space="preserve">Faisal Town</t>
  </si>
  <si>
    <t xml:space="preserve">543</t>
  </si>
  <si>
    <t xml:space="preserve">R008</t>
  </si>
  <si>
    <t xml:space="preserve">08-08-2026</t>
  </si>
  <si>
    <t xml:space="preserve">626</t>
  </si>
  <si>
    <t xml:space="preserve">R009</t>
  </si>
  <si>
    <t xml:space="preserve">908</t>
  </si>
  <si>
    <t xml:space="preserve">R010</t>
  </si>
  <si>
    <t xml:space="preserve">23-08-2026</t>
  </si>
  <si>
    <t xml:space="preserve">651</t>
  </si>
  <si>
    <t xml:space="preserve">R011</t>
  </si>
  <si>
    <t xml:space="preserve">30-08-2026</t>
  </si>
  <si>
    <t xml:space="preserve">264</t>
  </si>
  <si>
    <t xml:space="preserve">Cancelled</t>
  </si>
  <si>
    <t xml:space="preserve">R012</t>
  </si>
  <si>
    <t xml:space="preserve">698</t>
  </si>
  <si>
    <t xml:space="preserve">R013</t>
  </si>
  <si>
    <t xml:space="preserve">29-08-2026</t>
  </si>
  <si>
    <t xml:space="preserve">1172</t>
  </si>
  <si>
    <t xml:space="preserve">R014</t>
  </si>
  <si>
    <t xml:space="preserve">Iqbal Town</t>
  </si>
  <si>
    <t xml:space="preserve">692</t>
  </si>
  <si>
    <t xml:space="preserve">R015</t>
  </si>
  <si>
    <t xml:space="preserve">18-08-2026</t>
  </si>
  <si>
    <t xml:space="preserve">967</t>
  </si>
  <si>
    <t xml:space="preserve">R016</t>
  </si>
  <si>
    <t xml:space="preserve">246</t>
  </si>
  <si>
    <t xml:space="preserve">R017</t>
  </si>
  <si>
    <t xml:space="preserve">Wapda Town</t>
  </si>
  <si>
    <t xml:space="preserve">938</t>
  </si>
  <si>
    <t xml:space="preserve">R018</t>
  </si>
  <si>
    <t xml:space="preserve">384</t>
  </si>
  <si>
    <t xml:space="preserve">R019</t>
  </si>
  <si>
    <t xml:space="preserve">378</t>
  </si>
  <si>
    <t xml:space="preserve">R020</t>
  </si>
  <si>
    <t xml:space="preserve">01-08-2026</t>
  </si>
  <si>
    <t xml:space="preserve">1189</t>
  </si>
  <si>
    <t xml:space="preserve">R021</t>
  </si>
  <si>
    <t xml:space="preserve">10-08-2026</t>
  </si>
  <si>
    <t xml:space="preserve">915</t>
  </si>
  <si>
    <t xml:space="preserve">R022</t>
  </si>
  <si>
    <t xml:space="preserve">1150</t>
  </si>
  <si>
    <t xml:space="preserve">R023</t>
  </si>
  <si>
    <t xml:space="preserve">268</t>
  </si>
  <si>
    <t xml:space="preserve">R024</t>
  </si>
  <si>
    <t xml:space="preserve">Airport</t>
  </si>
  <si>
    <t xml:space="preserve">291</t>
  </si>
  <si>
    <t xml:space="preserve">R025</t>
  </si>
  <si>
    <t xml:space="preserve">22-08-2026</t>
  </si>
  <si>
    <t xml:space="preserve">R026</t>
  </si>
  <si>
    <t xml:space="preserve">14-08-2026</t>
  </si>
  <si>
    <t xml:space="preserve">788</t>
  </si>
  <si>
    <t xml:space="preserve">R027</t>
  </si>
  <si>
    <t xml:space="preserve">1074</t>
  </si>
  <si>
    <t xml:space="preserve">R028</t>
  </si>
  <si>
    <t xml:space="preserve">11-08-2026</t>
  </si>
  <si>
    <t xml:space="preserve">601</t>
  </si>
  <si>
    <t xml:space="preserve">R029</t>
  </si>
  <si>
    <t xml:space="preserve">02-08-2026</t>
  </si>
  <si>
    <t xml:space="preserve">214</t>
  </si>
  <si>
    <t xml:space="preserve">R030</t>
  </si>
  <si>
    <t xml:space="preserve">09-08-2026</t>
  </si>
  <si>
    <t xml:space="preserve">420</t>
  </si>
  <si>
    <t xml:space="preserve">R031</t>
  </si>
  <si>
    <t xml:space="preserve">19-08-2026</t>
  </si>
  <si>
    <t xml:space="preserve">1118</t>
  </si>
  <si>
    <t xml:space="preserve">R032</t>
  </si>
  <si>
    <t xml:space="preserve">1017</t>
  </si>
  <si>
    <t xml:space="preserve">R033</t>
  </si>
  <si>
    <t xml:space="preserve">974</t>
  </si>
  <si>
    <t xml:space="preserve">R034</t>
  </si>
  <si>
    <t xml:space="preserve">1068</t>
  </si>
  <si>
    <t xml:space="preserve">R035</t>
  </si>
  <si>
    <t xml:space="preserve">15-08-2026</t>
  </si>
  <si>
    <t xml:space="preserve">1057</t>
  </si>
  <si>
    <t xml:space="preserve">R036</t>
  </si>
  <si>
    <t xml:space="preserve">634</t>
  </si>
  <si>
    <t xml:space="preserve">R037</t>
  </si>
  <si>
    <t xml:space="preserve">07-08-2026</t>
  </si>
  <si>
    <t xml:space="preserve">487</t>
  </si>
  <si>
    <t xml:space="preserve">R038</t>
  </si>
  <si>
    <t xml:space="preserve">Township</t>
  </si>
  <si>
    <t xml:space="preserve">1016</t>
  </si>
  <si>
    <t xml:space="preserve">R039</t>
  </si>
  <si>
    <t xml:space="preserve">538</t>
  </si>
  <si>
    <t xml:space="preserve">R040</t>
  </si>
  <si>
    <t xml:space="preserve">267</t>
  </si>
  <si>
    <t xml:space="preserve">R041</t>
  </si>
  <si>
    <t xml:space="preserve">1190</t>
  </si>
  <si>
    <t xml:space="preserve">R042</t>
  </si>
  <si>
    <t xml:space="preserve">976</t>
  </si>
  <si>
    <t xml:space="preserve">R043</t>
  </si>
  <si>
    <t xml:space="preserve">317</t>
  </si>
  <si>
    <t xml:space="preserve">R044</t>
  </si>
  <si>
    <t xml:space="preserve">568</t>
  </si>
  <si>
    <t xml:space="preserve">R045</t>
  </si>
  <si>
    <t xml:space="preserve">764</t>
  </si>
  <si>
    <t xml:space="preserve">R046</t>
  </si>
  <si>
    <t xml:space="preserve">300</t>
  </si>
  <si>
    <t xml:space="preserve">R047</t>
  </si>
  <si>
    <t xml:space="preserve">05-08-2026</t>
  </si>
  <si>
    <t xml:space="preserve">650</t>
  </si>
  <si>
    <t xml:space="preserve">R048</t>
  </si>
  <si>
    <t xml:space="preserve">27-08-2026</t>
  </si>
  <si>
    <t xml:space="preserve">763</t>
  </si>
  <si>
    <t xml:space="preserve">R049</t>
  </si>
  <si>
    <t xml:space="preserve">468</t>
  </si>
  <si>
    <t xml:space="preserve">R050</t>
  </si>
  <si>
    <t xml:space="preserve">690</t>
  </si>
  <si>
    <t xml:space="preserve">R051</t>
  </si>
  <si>
    <t xml:space="preserve">240</t>
  </si>
  <si>
    <t xml:space="preserve">R052</t>
  </si>
  <si>
    <t xml:space="preserve">1054</t>
  </si>
  <si>
    <t xml:space="preserve">R053</t>
  </si>
  <si>
    <t xml:space="preserve">455</t>
  </si>
  <si>
    <t xml:space="preserve">R054</t>
  </si>
  <si>
    <t xml:space="preserve">411</t>
  </si>
  <si>
    <t xml:space="preserve">R055</t>
  </si>
  <si>
    <t xml:space="preserve">661</t>
  </si>
  <si>
    <t xml:space="preserve">R056</t>
  </si>
  <si>
    <t xml:space="preserve">R057</t>
  </si>
  <si>
    <t xml:space="preserve">200</t>
  </si>
  <si>
    <t xml:space="preserve">R058</t>
  </si>
  <si>
    <t xml:space="preserve">696</t>
  </si>
  <si>
    <t xml:space="preserve">R059</t>
  </si>
  <si>
    <t xml:space="preserve">13-08-2026</t>
  </si>
  <si>
    <t xml:space="preserve">605</t>
  </si>
  <si>
    <t xml:space="preserve">R060</t>
  </si>
  <si>
    <t xml:space="preserve">12-08-2026</t>
  </si>
  <si>
    <t xml:space="preserve">606</t>
  </si>
  <si>
    <t xml:space="preserve">R061</t>
  </si>
  <si>
    <t xml:space="preserve">721</t>
  </si>
  <si>
    <t xml:space="preserve">R062</t>
  </si>
  <si>
    <t xml:space="preserve">386</t>
  </si>
  <si>
    <t xml:space="preserve">R063</t>
  </si>
  <si>
    <t xml:space="preserve">857</t>
  </si>
  <si>
    <t xml:space="preserve">R064</t>
  </si>
  <si>
    <t xml:space="preserve">539</t>
  </si>
  <si>
    <t xml:space="preserve">R065</t>
  </si>
  <si>
    <t xml:space="preserve">1033</t>
  </si>
  <si>
    <t xml:space="preserve">R066</t>
  </si>
  <si>
    <t xml:space="preserve">405</t>
  </si>
  <si>
    <t xml:space="preserve">R067</t>
  </si>
  <si>
    <t xml:space="preserve">818</t>
  </si>
  <si>
    <t xml:space="preserve">R068</t>
  </si>
  <si>
    <t xml:space="preserve">926</t>
  </si>
  <si>
    <t xml:space="preserve">R069</t>
  </si>
  <si>
    <t xml:space="preserve">150</t>
  </si>
  <si>
    <t xml:space="preserve">R070</t>
  </si>
  <si>
    <t xml:space="preserve">R071</t>
  </si>
  <si>
    <t xml:space="preserve">16-08-2026</t>
  </si>
  <si>
    <t xml:space="preserve">731</t>
  </si>
  <si>
    <t xml:space="preserve">R072</t>
  </si>
  <si>
    <t xml:space="preserve">785</t>
  </si>
  <si>
    <t xml:space="preserve">R073</t>
  </si>
  <si>
    <t xml:space="preserve">1123</t>
  </si>
  <si>
    <t xml:space="preserve">R074</t>
  </si>
  <si>
    <t xml:space="preserve">548</t>
  </si>
  <si>
    <t xml:space="preserve">R075</t>
  </si>
  <si>
    <t xml:space="preserve">161</t>
  </si>
  <si>
    <t xml:space="preserve">R076</t>
  </si>
  <si>
    <t xml:space="preserve">06-08-2026</t>
  </si>
  <si>
    <t xml:space="preserve">660</t>
  </si>
  <si>
    <t xml:space="preserve">R077</t>
  </si>
  <si>
    <t xml:space="preserve">1183</t>
  </si>
  <si>
    <t xml:space="preserve">R078</t>
  </si>
  <si>
    <t xml:space="preserve">1122</t>
  </si>
  <si>
    <t xml:space="preserve">R079</t>
  </si>
  <si>
    <t xml:space="preserve">639</t>
  </si>
  <si>
    <t xml:space="preserve">R080</t>
  </si>
  <si>
    <t xml:space="preserve">837</t>
  </si>
  <si>
    <t xml:space="preserve">R081</t>
  </si>
  <si>
    <t xml:space="preserve">623</t>
  </si>
  <si>
    <t xml:space="preserve">R082</t>
  </si>
  <si>
    <t xml:space="preserve">984</t>
  </si>
  <si>
    <t xml:space="preserve">R083</t>
  </si>
  <si>
    <t xml:space="preserve">947</t>
  </si>
  <si>
    <t xml:space="preserve">R084</t>
  </si>
  <si>
    <t xml:space="preserve">162</t>
  </si>
  <si>
    <t xml:space="preserve">R085</t>
  </si>
  <si>
    <t xml:space="preserve">28-08-2026</t>
  </si>
  <si>
    <t xml:space="preserve">1149</t>
  </si>
  <si>
    <t xml:space="preserve">R086</t>
  </si>
  <si>
    <t xml:space="preserve">978</t>
  </si>
  <si>
    <t xml:space="preserve">R087</t>
  </si>
  <si>
    <t xml:space="preserve">956</t>
  </si>
  <si>
    <t xml:space="preserve">R088</t>
  </si>
  <si>
    <t xml:space="preserve">1095</t>
  </si>
  <si>
    <t xml:space="preserve">R089</t>
  </si>
  <si>
    <t xml:space="preserve">819</t>
  </si>
  <si>
    <t xml:space="preserve">R090</t>
  </si>
  <si>
    <t xml:space="preserve">R091</t>
  </si>
  <si>
    <t xml:space="preserve">290</t>
  </si>
  <si>
    <t xml:space="preserve">R092</t>
  </si>
  <si>
    <t xml:space="preserve">462</t>
  </si>
  <si>
    <t xml:space="preserve">R093</t>
  </si>
  <si>
    <t xml:space="preserve">674</t>
  </si>
  <si>
    <t xml:space="preserve">R094</t>
  </si>
  <si>
    <t xml:space="preserve">24-08-2026</t>
  </si>
  <si>
    <t xml:space="preserve">787</t>
  </si>
  <si>
    <t xml:space="preserve">R095</t>
  </si>
  <si>
    <t xml:space="preserve">556</t>
  </si>
  <si>
    <t xml:space="preserve">R096</t>
  </si>
  <si>
    <t xml:space="preserve">397</t>
  </si>
  <si>
    <t xml:space="preserve">R097</t>
  </si>
  <si>
    <t xml:space="preserve">R098</t>
  </si>
  <si>
    <t xml:space="preserve">366</t>
  </si>
  <si>
    <t xml:space="preserve">R099</t>
  </si>
  <si>
    <t xml:space="preserve">1041</t>
  </si>
  <si>
    <t xml:space="preserve">R100</t>
  </si>
  <si>
    <t xml:space="preserve">1042</t>
  </si>
  <si>
    <t xml:space="preserve">R101</t>
  </si>
  <si>
    <t xml:space="preserve">R102</t>
  </si>
  <si>
    <t xml:space="preserve">208</t>
  </si>
  <si>
    <t xml:space="preserve">R103</t>
  </si>
  <si>
    <t xml:space="preserve">876</t>
  </si>
  <si>
    <t xml:space="preserve">R104</t>
  </si>
  <si>
    <t xml:space="preserve">541</t>
  </si>
  <si>
    <t xml:space="preserve">R105</t>
  </si>
  <si>
    <t xml:space="preserve">1155</t>
  </si>
  <si>
    <t xml:space="preserve">R106</t>
  </si>
  <si>
    <t xml:space="preserve">648</t>
  </si>
  <si>
    <t xml:space="preserve">R107</t>
  </si>
  <si>
    <t xml:space="preserve">827</t>
  </si>
  <si>
    <t xml:space="preserve">R108</t>
  </si>
  <si>
    <t xml:space="preserve">R109</t>
  </si>
  <si>
    <t xml:space="preserve">593</t>
  </si>
  <si>
    <t xml:space="preserve">R110</t>
  </si>
  <si>
    <t xml:space="preserve">547</t>
  </si>
  <si>
    <t xml:space="preserve">R111</t>
  </si>
  <si>
    <t xml:space="preserve">711</t>
  </si>
  <si>
    <t xml:space="preserve">R112</t>
  </si>
  <si>
    <t xml:space="preserve">R113</t>
  </si>
  <si>
    <t xml:space="preserve">1130</t>
  </si>
  <si>
    <t xml:space="preserve">R114</t>
  </si>
  <si>
    <t xml:space="preserve">283</t>
  </si>
  <si>
    <t xml:space="preserve">R115</t>
  </si>
  <si>
    <t xml:space="preserve">R116</t>
  </si>
  <si>
    <t xml:space="preserve">1002</t>
  </si>
  <si>
    <t xml:space="preserve">R117</t>
  </si>
  <si>
    <t xml:space="preserve">1056</t>
  </si>
  <si>
    <t xml:space="preserve">R118</t>
  </si>
  <si>
    <t xml:space="preserve">353</t>
  </si>
  <si>
    <t xml:space="preserve">R119</t>
  </si>
  <si>
    <t xml:space="preserve">641</t>
  </si>
  <si>
    <t xml:space="preserve">R120</t>
  </si>
  <si>
    <t xml:space="preserve">1112</t>
  </si>
  <si>
    <t xml:space="preserve">500</t>
  </si>
  <si>
    <t xml:space="preserve">R121</t>
  </si>
  <si>
    <t xml:space="preserve">380</t>
  </si>
  <si>
    <t xml:space="preserve">R122</t>
  </si>
  <si>
    <t xml:space="preserve">-300</t>
  </si>
  <si>
    <t xml:space="preserve">R123</t>
  </si>
  <si>
    <t xml:space="preserve">600</t>
  </si>
  <si>
    <t xml:space="preserve">R124</t>
  </si>
  <si>
    <t xml:space="preserve">invalid-date</t>
  </si>
  <si>
    <t xml:space="preserve">450</t>
  </si>
  <si>
    <t xml:space="preserve">R125</t>
  </si>
  <si>
    <t xml:space="preserve">2026-08-21</t>
  </si>
  <si>
    <t xml:space="preserve">2026-08-04</t>
  </si>
  <si>
    <t xml:space="preserve">2026-08-17</t>
  </si>
  <si>
    <t xml:space="preserve">2026-08-26</t>
  </si>
  <si>
    <t xml:space="preserve">2026-08-25</t>
  </si>
  <si>
    <t xml:space="preserve">2026-08-20</t>
  </si>
  <si>
    <t xml:space="preserve">2026-08-03</t>
  </si>
  <si>
    <t xml:space="preserve">2026-08-08</t>
  </si>
  <si>
    <t xml:space="preserve">2026-08-23</t>
  </si>
  <si>
    <t xml:space="preserve">2026-08-30</t>
  </si>
  <si>
    <t xml:space="preserve">2026-08-29</t>
  </si>
  <si>
    <t xml:space="preserve">2026-08-18</t>
  </si>
  <si>
    <t xml:space="preserve">2026-08-01</t>
  </si>
  <si>
    <t xml:space="preserve">2026-08-10</t>
  </si>
  <si>
    <t xml:space="preserve">2026-08-22</t>
  </si>
  <si>
    <t xml:space="preserve">2026-08-14</t>
  </si>
  <si>
    <t xml:space="preserve">2026-08-11</t>
  </si>
  <si>
    <t xml:space="preserve">2026-08-02</t>
  </si>
  <si>
    <t xml:space="preserve">2026-08-09</t>
  </si>
  <si>
    <t xml:space="preserve">2026-08-19</t>
  </si>
  <si>
    <t xml:space="preserve">2026-08-15</t>
  </si>
  <si>
    <t xml:space="preserve">2026-08-07</t>
  </si>
  <si>
    <t xml:space="preserve">2026-08-05</t>
  </si>
  <si>
    <t xml:space="preserve">2026-08-27</t>
  </si>
  <si>
    <t xml:space="preserve">2026-08-13</t>
  </si>
  <si>
    <t xml:space="preserve">2026-08-12</t>
  </si>
  <si>
    <t xml:space="preserve">2026-08-16</t>
  </si>
  <si>
    <t xml:space="preserve">2026-08-06</t>
  </si>
  <si>
    <t xml:space="preserve">2026-08-28</t>
  </si>
  <si>
    <t xml:space="preserve">2026-08-24</t>
  </si>
  <si>
    <t xml:space="preserve">Ride Analytics — KPI Dashboard</t>
  </si>
  <si>
    <t xml:space="preserve">Total Rides</t>
  </si>
  <si>
    <t xml:space="preserve">Completed Rides</t>
  </si>
  <si>
    <t xml:space="preserve">Cancelled Rides</t>
  </si>
  <si>
    <t xml:space="preserve">Total Revenue (PKR)</t>
  </si>
  <si>
    <t xml:space="preserve">Average Fare (PKR)</t>
  </si>
  <si>
    <t xml:space="preserve">Average Rating</t>
  </si>
  <si>
    <t xml:space="preserve">Rides &amp; Revenue by Date</t>
  </si>
  <si>
    <t xml:space="preserve">Rides by Payment Method</t>
  </si>
  <si>
    <t xml:space="preserve">Rides by Status</t>
  </si>
  <si>
    <t xml:space="preserve">Top Pickup Locations</t>
  </si>
  <si>
    <t xml:space="preserve">Rides</t>
  </si>
  <si>
    <t xml:space="preserve">Revenue</t>
  </si>
  <si>
    <t xml:space="preserve">Status</t>
  </si>
  <si>
    <t xml:space="preserve">Ride Analytics — Charts</t>
  </si>
  <si>
    <t xml:space="preserve">Business Insights</t>
  </si>
  <si>
    <t xml:space="preserve">1. Out of 120 cleaned rides, 96 were completed and 24 were cancelled — a 20% cancellation rate worth investigating.</t>
  </si>
  <si>
    <t xml:space="preserve">2. Card is the most-used payment method (45 rides), narrowly ahead of Cash (42) and Wallet (33).</t>
  </si>
  <si>
    <t xml:space="preserve">3. Johar Town is the busiest pickup location with 21 rides, followed by Model Town (19) and Wapda Town (18).</t>
  </si>
  <si>
    <t xml:space="preserve">4. Total revenue from completed rides is PKR 65,427, with an average fare of about PKR 682 per completed ride.</t>
  </si>
  <si>
    <t xml:space="preserve">5. Average customer rating across completed rides is 3.96 out of 5, suggesting room to improve service quality.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</si>
</sst>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2E5395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8"/>
      <color rgb="FF2E539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555555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EA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Rides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Dashboard'!C9</c:f>
              <c:strCache>
                <c:ptCount val="1"/>
                <c:pt idx="0">
                  <c:v>Rides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Dashboard'!$B$10:$B$39</c:f>
              <c:strCache>
                <c:ptCount val="30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</c:strCache>
            </c:strRef>
          </c:cat>
          <c:val>
            <c:numRef>
              <c:f>'KPI Dashboard'!$C$10:$C$39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8</c:v>
                </c:pt>
                <c:pt idx="19">
                  <c:v>3</c:v>
                </c:pt>
                <c:pt idx="20">
                  <c:v>7</c:v>
                </c:pt>
                <c:pt idx="21">
                  <c:v>5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7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860388"/>
        <c:axId val="30255001"/>
      </c:lineChart>
      <c:catAx>
        <c:axId val="85860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55001"/>
        <c:crosses val="autoZero"/>
        <c:auto val="1"/>
        <c:lblAlgn val="ctr"/>
        <c:lblOffset val="100"/>
        <c:noMultiLvlLbl val="0"/>
      </c:catAx>
      <c:valAx>
        <c:axId val="30255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60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Dashboard'!D9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Dashboard'!$B$10:$B$39</c:f>
              <c:strCache>
                <c:ptCount val="30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</c:strCache>
            </c:strRef>
          </c:cat>
          <c:val>
            <c:numRef>
              <c:f>'KPI Dashboard'!$D$10:$D$39</c:f>
              <c:numCache>
                <c:formatCode>General</c:formatCode>
                <c:ptCount val="30"/>
                <c:pt idx="0">
                  <c:v>3007</c:v>
                </c:pt>
                <c:pt idx="1">
                  <c:v>2335</c:v>
                </c:pt>
                <c:pt idx="2">
                  <c:v>4342</c:v>
                </c:pt>
                <c:pt idx="3">
                  <c:v>889</c:v>
                </c:pt>
                <c:pt idx="4">
                  <c:v>1576</c:v>
                </c:pt>
                <c:pt idx="5">
                  <c:v>1536</c:v>
                </c:pt>
                <c:pt idx="6">
                  <c:v>1471</c:v>
                </c:pt>
                <c:pt idx="7">
                  <c:v>2553</c:v>
                </c:pt>
                <c:pt idx="8">
                  <c:v>2874</c:v>
                </c:pt>
                <c:pt idx="9">
                  <c:v>1960</c:v>
                </c:pt>
                <c:pt idx="10">
                  <c:v>2926</c:v>
                </c:pt>
                <c:pt idx="11">
                  <c:v>606</c:v>
                </c:pt>
                <c:pt idx="12">
                  <c:v>766</c:v>
                </c:pt>
                <c:pt idx="13">
                  <c:v>353</c:v>
                </c:pt>
                <c:pt idx="14">
                  <c:v>1057</c:v>
                </c:pt>
                <c:pt idx="15">
                  <c:v>2713</c:v>
                </c:pt>
                <c:pt idx="16">
                  <c:v>2641</c:v>
                </c:pt>
                <c:pt idx="17">
                  <c:v>3014</c:v>
                </c:pt>
                <c:pt idx="18">
                  <c:v>4346</c:v>
                </c:pt>
                <c:pt idx="19">
                  <c:v>1779</c:v>
                </c:pt>
                <c:pt idx="20">
                  <c:v>5482</c:v>
                </c:pt>
                <c:pt idx="21">
                  <c:v>2044</c:v>
                </c:pt>
                <c:pt idx="22">
                  <c:v>1882</c:v>
                </c:pt>
                <c:pt idx="23">
                  <c:v>1380</c:v>
                </c:pt>
                <c:pt idx="24">
                  <c:v>717</c:v>
                </c:pt>
                <c:pt idx="25">
                  <c:v>5139</c:v>
                </c:pt>
                <c:pt idx="26">
                  <c:v>1402</c:v>
                </c:pt>
                <c:pt idx="27">
                  <c:v>1870</c:v>
                </c:pt>
                <c:pt idx="28">
                  <c:v>661</c:v>
                </c:pt>
                <c:pt idx="29">
                  <c:v>2106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344424"/>
        <c:axId val="18599684"/>
      </c:lineChart>
      <c:catAx>
        <c:axId val="843444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99684"/>
        <c:crosses val="autoZero"/>
        <c:auto val="1"/>
        <c:lblAlgn val="ctr"/>
        <c:lblOffset val="100"/>
        <c:noMultiLvlLbl val="0"/>
      </c:catAx>
      <c:valAx>
        <c:axId val="18599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44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Rides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Dashboard'!G9</c:f>
              <c:strCache>
                <c:ptCount val="1"/>
                <c:pt idx="0">
                  <c:v>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Dashboard'!$F$10:$F$12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Wallet</c:v>
                </c:pt>
              </c:strCache>
            </c:strRef>
          </c:cat>
          <c:val>
            <c:numRef>
              <c:f>'KPI Dashboard'!$G$10:$G$12</c:f>
              <c:numCache>
                <c:formatCode>General</c:formatCode>
                <c:ptCount val="3"/>
                <c:pt idx="0">
                  <c:v>45</c:v>
                </c:pt>
                <c:pt idx="1">
                  <c:v>42</c:v>
                </c:pt>
                <c:pt idx="2">
                  <c:v>33</c:v>
                </c:pt>
              </c:numCache>
            </c:numRef>
          </c:val>
        </c:ser>
        <c:gapWidth val="150"/>
        <c:overlap val="0"/>
        <c:axId val="66157088"/>
        <c:axId val="61556030"/>
      </c:barChart>
      <c:catAx>
        <c:axId val="661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56030"/>
        <c:crosses val="autoZero"/>
        <c:auto val="1"/>
        <c:lblAlgn val="ctr"/>
        <c:lblOffset val="100"/>
        <c:noMultiLvlLbl val="0"/>
      </c:catAx>
      <c:valAx>
        <c:axId val="61556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570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Rides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Dashboard'!J9</c:f>
              <c:strCache>
                <c:ptCount val="1"/>
                <c:pt idx="0">
                  <c:v>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Dashboard'!$I$10:$I$11</c:f>
              <c:strCache>
                <c:ptCount val="2"/>
                <c:pt idx="0">
                  <c:v>Cancelled</c:v>
                </c:pt>
                <c:pt idx="1">
                  <c:v>Completed</c:v>
                </c:pt>
              </c:strCache>
            </c:strRef>
          </c:cat>
          <c:val>
            <c:numRef>
              <c:f>'KPI Dashboard'!$J$10:$J$11</c:f>
              <c:numCache>
                <c:formatCode>General</c:formatCode>
                <c:ptCount val="2"/>
                <c:pt idx="0">
                  <c:v>24</c:v>
                </c:pt>
                <c:pt idx="1">
                  <c:v>96</c:v>
                </c:pt>
              </c:numCache>
            </c:numRef>
          </c:val>
        </c:ser>
        <c:gapWidth val="150"/>
        <c:overlap val="0"/>
        <c:axId val="93712030"/>
        <c:axId val="46193739"/>
      </c:barChart>
      <c:catAx>
        <c:axId val="937120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93739"/>
        <c:crosses val="autoZero"/>
        <c:auto val="1"/>
        <c:lblAlgn val="ctr"/>
        <c:lblOffset val="100"/>
        <c:noMultiLvlLbl val="0"/>
      </c:catAx>
      <c:valAx>
        <c:axId val="46193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120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Pickup Locations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Dashboard'!M9</c:f>
              <c:strCache>
                <c:ptCount val="1"/>
                <c:pt idx="0">
                  <c:v>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Dashboard'!$L$10:$L$17</c:f>
              <c:strCache>
                <c:ptCount val="8"/>
                <c:pt idx="0">
                  <c:v>Johar Town</c:v>
                </c:pt>
                <c:pt idx="1">
                  <c:v>Model Town</c:v>
                </c:pt>
                <c:pt idx="2">
                  <c:v>Wapda Town</c:v>
                </c:pt>
                <c:pt idx="3">
                  <c:v>Gulberg</c:v>
                </c:pt>
                <c:pt idx="4">
                  <c:v>Bahria Town</c:v>
                </c:pt>
                <c:pt idx="5">
                  <c:v>Iqbal Town</c:v>
                </c:pt>
                <c:pt idx="6">
                  <c:v>Lahore</c:v>
                </c:pt>
                <c:pt idx="7">
                  <c:v>DHA</c:v>
                </c:pt>
              </c:strCache>
            </c:strRef>
          </c:cat>
          <c:val>
            <c:numRef>
              <c:f>'KPI Dashboard'!$M$10:$M$17</c:f>
              <c:numCache>
                <c:formatCode>General</c:formatCode>
                <c:ptCount val="8"/>
                <c:pt idx="0">
                  <c:v>21</c:v>
                </c:pt>
                <c:pt idx="1">
                  <c:v>19</c:v>
                </c:pt>
                <c:pt idx="2">
                  <c:v>18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10</c:v>
                </c:pt>
                <c:pt idx="7">
                  <c:v>7</c:v>
                </c:pt>
              </c:numCache>
            </c:numRef>
          </c:val>
        </c:ser>
        <c:gapWidth val="150"/>
        <c:overlap val="0"/>
        <c:axId val="89606179"/>
        <c:axId val="19114631"/>
      </c:barChart>
      <c:catAx>
        <c:axId val="89606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14631"/>
        <c:crosses val="autoZero"/>
        <c:auto val="1"/>
        <c:lblAlgn val="ctr"/>
        <c:lblOffset val="100"/>
        <c:noMultiLvlLbl val="0"/>
      </c:catAx>
      <c:valAx>
        <c:axId val="19114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06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131040</xdr:rowOff>
    </xdr:from>
    <xdr:to>
      <xdr:col>10</xdr:col>
      <xdr:colOff>256320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6116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19</xdr:col>
      <xdr:colOff>255960</xdr:colOff>
      <xdr:row>19</xdr:row>
      <xdr:rowOff>132120</xdr:rowOff>
    </xdr:to>
    <xdr:graphicFrame>
      <xdr:nvGraphicFramePr>
        <xdr:cNvPr id="1" name="Chart 2"/>
        <xdr:cNvGraphicFramePr/>
      </xdr:nvGraphicFramePr>
      <xdr:xfrm>
        <a:off x="611496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10</xdr:col>
      <xdr:colOff>256320</xdr:colOff>
      <xdr:row>37</xdr:row>
      <xdr:rowOff>132120</xdr:rowOff>
    </xdr:to>
    <xdr:graphicFrame>
      <xdr:nvGraphicFramePr>
        <xdr:cNvPr id="2" name="Chart 3"/>
        <xdr:cNvGraphicFramePr/>
      </xdr:nvGraphicFramePr>
      <xdr:xfrm>
        <a:off x="61164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131040</xdr:rowOff>
    </xdr:from>
    <xdr:to>
      <xdr:col>19</xdr:col>
      <xdr:colOff>255960</xdr:colOff>
      <xdr:row>37</xdr:row>
      <xdr:rowOff>132120</xdr:rowOff>
    </xdr:to>
    <xdr:graphicFrame>
      <xdr:nvGraphicFramePr>
        <xdr:cNvPr id="3" name="Chart 4"/>
        <xdr:cNvGraphicFramePr/>
      </xdr:nvGraphicFramePr>
      <xdr:xfrm>
        <a:off x="611496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38</xdr:row>
      <xdr:rowOff>131040</xdr:rowOff>
    </xdr:from>
    <xdr:to>
      <xdr:col>10</xdr:col>
      <xdr:colOff>256320</xdr:colOff>
      <xdr:row>55</xdr:row>
      <xdr:rowOff>132120</xdr:rowOff>
    </xdr:to>
    <xdr:graphicFrame>
      <xdr:nvGraphicFramePr>
        <xdr:cNvPr id="4" name="Chart 5"/>
        <xdr:cNvGraphicFramePr/>
      </xdr:nvGraphicFramePr>
      <xdr:xfrm>
        <a:off x="611640" y="7429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5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13</v>
      </c>
      <c r="G3" s="0" t="s">
        <v>14</v>
      </c>
      <c r="H3" s="0" t="n">
        <v>3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13</v>
      </c>
      <c r="G4" s="0" t="s">
        <v>14</v>
      </c>
      <c r="H4" s="0" t="n">
        <v>4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21</v>
      </c>
      <c r="D5" s="0" t="s">
        <v>26</v>
      </c>
      <c r="E5" s="0" t="s">
        <v>27</v>
      </c>
      <c r="F5" s="0" t="s">
        <v>28</v>
      </c>
      <c r="G5" s="0" t="s">
        <v>14</v>
      </c>
      <c r="H5" s="0" t="n">
        <v>3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s">
        <v>31</v>
      </c>
      <c r="D6" s="0" t="s">
        <v>10</v>
      </c>
      <c r="E6" s="0" t="s">
        <v>32</v>
      </c>
      <c r="F6" s="0" t="s">
        <v>28</v>
      </c>
      <c r="G6" s="0" t="s">
        <v>14</v>
      </c>
      <c r="H6" s="0" t="n">
        <v>4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35</v>
      </c>
      <c r="D7" s="0" t="s">
        <v>11</v>
      </c>
      <c r="E7" s="0" t="s">
        <v>36</v>
      </c>
      <c r="F7" s="0" t="s">
        <v>37</v>
      </c>
      <c r="G7" s="0" t="s">
        <v>14</v>
      </c>
      <c r="H7" s="0" t="n">
        <v>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35</v>
      </c>
      <c r="D8" s="0" t="s">
        <v>40</v>
      </c>
      <c r="E8" s="0" t="s">
        <v>41</v>
      </c>
      <c r="F8" s="0" t="s">
        <v>37</v>
      </c>
      <c r="G8" s="0" t="s">
        <v>14</v>
      </c>
      <c r="H8" s="0" t="n">
        <v>5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35</v>
      </c>
      <c r="D9" s="0" t="s">
        <v>10</v>
      </c>
      <c r="E9" s="0" t="s">
        <v>44</v>
      </c>
      <c r="F9" s="0" t="s">
        <v>13</v>
      </c>
      <c r="G9" s="0" t="s">
        <v>14</v>
      </c>
      <c r="H9" s="0" t="n">
        <v>4</v>
      </c>
    </row>
    <row r="10" customFormat="false" ht="15" hidden="false" customHeight="false" outlineLevel="0" collapsed="false">
      <c r="A10" s="0" t="s">
        <v>45</v>
      </c>
      <c r="B10" s="0" t="s">
        <v>9</v>
      </c>
      <c r="C10" s="0" t="s">
        <v>31</v>
      </c>
      <c r="D10" s="0" t="s">
        <v>26</v>
      </c>
      <c r="E10" s="0" t="s">
        <v>46</v>
      </c>
      <c r="F10" s="0" t="s">
        <v>28</v>
      </c>
      <c r="G10" s="0" t="s">
        <v>14</v>
      </c>
      <c r="H10" s="0" t="n">
        <v>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s">
        <v>10</v>
      </c>
      <c r="D11" s="0" t="s">
        <v>26</v>
      </c>
      <c r="E11" s="0" t="s">
        <v>49</v>
      </c>
      <c r="F11" s="0" t="s">
        <v>13</v>
      </c>
      <c r="G11" s="0" t="s">
        <v>14</v>
      </c>
      <c r="H11" s="0" t="n">
        <v>4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26</v>
      </c>
      <c r="D12" s="0" t="s">
        <v>40</v>
      </c>
      <c r="E12" s="0" t="s">
        <v>52</v>
      </c>
      <c r="F12" s="0" t="s">
        <v>13</v>
      </c>
      <c r="G12" s="0" t="s">
        <v>53</v>
      </c>
    </row>
    <row r="13" customFormat="false" ht="15" hidden="false" customHeight="false" outlineLevel="0" collapsed="false">
      <c r="A13" s="0" t="s">
        <v>54</v>
      </c>
      <c r="B13" s="0" t="s">
        <v>25</v>
      </c>
      <c r="C13" s="0" t="s">
        <v>31</v>
      </c>
      <c r="D13" s="0" t="s">
        <v>17</v>
      </c>
      <c r="E13" s="0" t="s">
        <v>55</v>
      </c>
      <c r="F13" s="0" t="s">
        <v>13</v>
      </c>
      <c r="G13" s="0" t="s">
        <v>14</v>
      </c>
      <c r="H13" s="0" t="n">
        <v>5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s">
        <v>31</v>
      </c>
      <c r="D14" s="0" t="s">
        <v>22</v>
      </c>
      <c r="E14" s="0" t="s">
        <v>58</v>
      </c>
      <c r="F14" s="0" t="s">
        <v>28</v>
      </c>
      <c r="G14" s="0" t="s">
        <v>53</v>
      </c>
    </row>
    <row r="15" customFormat="false" ht="15" hidden="false" customHeight="false" outlineLevel="0" collapsed="false">
      <c r="A15" s="0" t="s">
        <v>59</v>
      </c>
      <c r="B15" s="0" t="s">
        <v>9</v>
      </c>
      <c r="C15" s="0" t="s">
        <v>60</v>
      </c>
      <c r="D15" s="0" t="s">
        <v>26</v>
      </c>
      <c r="E15" s="0" t="s">
        <v>61</v>
      </c>
      <c r="F15" s="0" t="s">
        <v>13</v>
      </c>
      <c r="G15" s="0" t="s">
        <v>14</v>
      </c>
      <c r="H15" s="0" t="n">
        <v>5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35</v>
      </c>
      <c r="D16" s="0" t="s">
        <v>17</v>
      </c>
      <c r="E16" s="0" t="s">
        <v>64</v>
      </c>
      <c r="F16" s="0" t="s">
        <v>28</v>
      </c>
      <c r="G16" s="0" t="s">
        <v>14</v>
      </c>
      <c r="H16" s="0" t="n">
        <v>3</v>
      </c>
    </row>
    <row r="17" customFormat="false" ht="15" hidden="false" customHeight="false" outlineLevel="0" collapsed="false">
      <c r="A17" s="0" t="s">
        <v>65</v>
      </c>
      <c r="B17" s="0" t="s">
        <v>20</v>
      </c>
      <c r="C17" s="0" t="s">
        <v>60</v>
      </c>
      <c r="D17" s="0" t="s">
        <v>10</v>
      </c>
      <c r="E17" s="0" t="s">
        <v>66</v>
      </c>
      <c r="F17" s="0" t="s">
        <v>13</v>
      </c>
      <c r="G17" s="0" t="s">
        <v>14</v>
      </c>
      <c r="H17" s="0" t="n">
        <v>3</v>
      </c>
    </row>
    <row r="18" customFormat="false" ht="15" hidden="false" customHeight="false" outlineLevel="0" collapsed="false">
      <c r="A18" s="0" t="s">
        <v>67</v>
      </c>
      <c r="B18" s="0" t="s">
        <v>25</v>
      </c>
      <c r="C18" s="0" t="s">
        <v>68</v>
      </c>
      <c r="D18" s="0" t="s">
        <v>10</v>
      </c>
      <c r="E18" s="0" t="s">
        <v>69</v>
      </c>
      <c r="F18" s="0" t="s">
        <v>28</v>
      </c>
      <c r="G18" s="0" t="s">
        <v>14</v>
      </c>
      <c r="H18" s="0" t="n">
        <v>4</v>
      </c>
    </row>
    <row r="19" customFormat="false" ht="15" hidden="false" customHeight="false" outlineLevel="0" collapsed="false">
      <c r="A19" s="0" t="s">
        <v>70</v>
      </c>
      <c r="B19" s="0" t="s">
        <v>20</v>
      </c>
      <c r="C19" s="0" t="s">
        <v>35</v>
      </c>
      <c r="D19" s="0" t="s">
        <v>11</v>
      </c>
      <c r="E19" s="0" t="s">
        <v>71</v>
      </c>
      <c r="F19" s="0" t="s">
        <v>37</v>
      </c>
      <c r="G19" s="0" t="s">
        <v>53</v>
      </c>
    </row>
    <row r="20" customFormat="false" ht="15" hidden="false" customHeight="false" outlineLevel="0" collapsed="false">
      <c r="A20" s="0" t="s">
        <v>72</v>
      </c>
      <c r="B20" s="0" t="s">
        <v>30</v>
      </c>
      <c r="C20" s="0" t="s">
        <v>35</v>
      </c>
      <c r="D20" s="0" t="s">
        <v>40</v>
      </c>
      <c r="E20" s="0" t="s">
        <v>73</v>
      </c>
      <c r="F20" s="0" t="s">
        <v>28</v>
      </c>
      <c r="G20" s="0" t="s">
        <v>14</v>
      </c>
      <c r="H20" s="0" t="n">
        <v>4</v>
      </c>
    </row>
    <row r="21" customFormat="false" ht="15" hidden="false" customHeight="false" outlineLevel="0" collapsed="false">
      <c r="A21" s="0" t="s">
        <v>74</v>
      </c>
      <c r="B21" s="0" t="s">
        <v>75</v>
      </c>
      <c r="C21" s="0" t="s">
        <v>35</v>
      </c>
      <c r="D21" s="0" t="s">
        <v>26</v>
      </c>
      <c r="E21" s="0" t="s">
        <v>76</v>
      </c>
      <c r="F21" s="0" t="s">
        <v>13</v>
      </c>
      <c r="G21" s="0" t="s">
        <v>53</v>
      </c>
    </row>
    <row r="22" customFormat="false" ht="15" hidden="false" customHeight="false" outlineLevel="0" collapsed="false">
      <c r="A22" s="0" t="s">
        <v>77</v>
      </c>
      <c r="B22" s="0" t="s">
        <v>78</v>
      </c>
      <c r="C22" s="0" t="s">
        <v>26</v>
      </c>
      <c r="D22" s="0" t="s">
        <v>26</v>
      </c>
      <c r="E22" s="0" t="s">
        <v>79</v>
      </c>
      <c r="F22" s="0" t="s">
        <v>13</v>
      </c>
      <c r="G22" s="0" t="s">
        <v>14</v>
      </c>
      <c r="H22" s="0" t="n">
        <v>5</v>
      </c>
    </row>
    <row r="23" customFormat="false" ht="15" hidden="false" customHeight="false" outlineLevel="0" collapsed="false">
      <c r="A23" s="0" t="s">
        <v>80</v>
      </c>
      <c r="B23" s="0" t="s">
        <v>51</v>
      </c>
      <c r="C23" s="0" t="s">
        <v>21</v>
      </c>
      <c r="D23" s="0" t="s">
        <v>40</v>
      </c>
      <c r="E23" s="0" t="s">
        <v>81</v>
      </c>
      <c r="F23" s="0" t="s">
        <v>13</v>
      </c>
      <c r="G23" s="0" t="s">
        <v>14</v>
      </c>
      <c r="H23" s="0" t="n">
        <v>4</v>
      </c>
    </row>
    <row r="24" customFormat="false" ht="15" hidden="false" customHeight="false" outlineLevel="0" collapsed="false">
      <c r="A24" s="0" t="s">
        <v>82</v>
      </c>
      <c r="B24" s="0" t="s">
        <v>57</v>
      </c>
      <c r="C24" s="0" t="s">
        <v>35</v>
      </c>
      <c r="D24" s="0" t="s">
        <v>22</v>
      </c>
      <c r="E24" s="0" t="s">
        <v>83</v>
      </c>
      <c r="F24" s="0" t="s">
        <v>13</v>
      </c>
      <c r="G24" s="0" t="s">
        <v>53</v>
      </c>
    </row>
    <row r="25" customFormat="false" ht="15" hidden="false" customHeight="false" outlineLevel="0" collapsed="false">
      <c r="A25" s="0" t="s">
        <v>84</v>
      </c>
      <c r="B25" s="0" t="s">
        <v>39</v>
      </c>
      <c r="C25" s="0" t="s">
        <v>10</v>
      </c>
      <c r="D25" s="0" t="s">
        <v>85</v>
      </c>
      <c r="E25" s="0" t="s">
        <v>86</v>
      </c>
      <c r="F25" s="0" t="s">
        <v>37</v>
      </c>
      <c r="G25" s="0" t="s">
        <v>14</v>
      </c>
      <c r="H25" s="0" t="n">
        <v>3</v>
      </c>
    </row>
    <row r="26" customFormat="false" ht="15" hidden="false" customHeight="false" outlineLevel="0" collapsed="false">
      <c r="A26" s="0" t="s">
        <v>87</v>
      </c>
      <c r="B26" s="0" t="s">
        <v>88</v>
      </c>
      <c r="C26" s="0" t="s">
        <v>60</v>
      </c>
      <c r="D26" s="0" t="s">
        <v>26</v>
      </c>
      <c r="E26" s="0" t="s">
        <v>61</v>
      </c>
      <c r="F26" s="0" t="s">
        <v>37</v>
      </c>
      <c r="G26" s="0" t="s">
        <v>53</v>
      </c>
    </row>
    <row r="27" customFormat="false" ht="15" hidden="false" customHeight="false" outlineLevel="0" collapsed="false">
      <c r="A27" s="0" t="s">
        <v>89</v>
      </c>
      <c r="B27" s="0" t="s">
        <v>90</v>
      </c>
      <c r="C27" s="0" t="s">
        <v>26</v>
      </c>
      <c r="D27" s="0" t="s">
        <v>22</v>
      </c>
      <c r="E27" s="0" t="s">
        <v>91</v>
      </c>
      <c r="F27" s="0" t="s">
        <v>28</v>
      </c>
      <c r="G27" s="0" t="s">
        <v>53</v>
      </c>
    </row>
    <row r="28" customFormat="false" ht="15" hidden="false" customHeight="false" outlineLevel="0" collapsed="false">
      <c r="A28" s="0" t="s">
        <v>92</v>
      </c>
      <c r="B28" s="0" t="s">
        <v>9</v>
      </c>
      <c r="C28" s="0" t="s">
        <v>31</v>
      </c>
      <c r="D28" s="0" t="s">
        <v>85</v>
      </c>
      <c r="E28" s="0" t="s">
        <v>93</v>
      </c>
      <c r="F28" s="0" t="s">
        <v>13</v>
      </c>
      <c r="G28" s="0" t="s">
        <v>14</v>
      </c>
      <c r="H28" s="0" t="n">
        <v>3</v>
      </c>
    </row>
    <row r="29" customFormat="false" ht="15" hidden="false" customHeight="false" outlineLevel="0" collapsed="false">
      <c r="A29" s="0" t="s">
        <v>94</v>
      </c>
      <c r="B29" s="0" t="s">
        <v>95</v>
      </c>
      <c r="C29" s="0" t="s">
        <v>21</v>
      </c>
      <c r="D29" s="0" t="s">
        <v>22</v>
      </c>
      <c r="E29" s="0" t="s">
        <v>96</v>
      </c>
      <c r="F29" s="0" t="s">
        <v>13</v>
      </c>
      <c r="G29" s="0" t="s">
        <v>14</v>
      </c>
      <c r="H29" s="0" t="n">
        <v>5</v>
      </c>
    </row>
    <row r="30" customFormat="false" ht="15" hidden="false" customHeight="false" outlineLevel="0" collapsed="false">
      <c r="A30" s="0" t="s">
        <v>97</v>
      </c>
      <c r="B30" s="0" t="s">
        <v>98</v>
      </c>
      <c r="C30" s="0" t="s">
        <v>26</v>
      </c>
      <c r="D30" s="0" t="s">
        <v>10</v>
      </c>
      <c r="E30" s="0" t="s">
        <v>99</v>
      </c>
      <c r="F30" s="0" t="s">
        <v>28</v>
      </c>
      <c r="G30" s="0" t="s">
        <v>14</v>
      </c>
      <c r="H30" s="0" t="n">
        <v>3</v>
      </c>
    </row>
    <row r="31" customFormat="false" ht="15" hidden="false" customHeight="false" outlineLevel="0" collapsed="false">
      <c r="A31" s="0" t="s">
        <v>100</v>
      </c>
      <c r="B31" s="0" t="s">
        <v>101</v>
      </c>
      <c r="C31" s="0" t="s">
        <v>60</v>
      </c>
      <c r="D31" s="0" t="s">
        <v>22</v>
      </c>
      <c r="E31" s="0" t="s">
        <v>102</v>
      </c>
      <c r="F31" s="0" t="s">
        <v>37</v>
      </c>
      <c r="G31" s="0" t="s">
        <v>53</v>
      </c>
    </row>
    <row r="32" customFormat="false" ht="15" hidden="false" customHeight="false" outlineLevel="0" collapsed="false">
      <c r="A32" s="0" t="s">
        <v>103</v>
      </c>
      <c r="B32" s="0" t="s">
        <v>104</v>
      </c>
      <c r="C32" s="0" t="s">
        <v>60</v>
      </c>
      <c r="D32" s="0" t="s">
        <v>22</v>
      </c>
      <c r="E32" s="0" t="s">
        <v>105</v>
      </c>
      <c r="F32" s="0" t="s">
        <v>28</v>
      </c>
      <c r="G32" s="0" t="s">
        <v>14</v>
      </c>
      <c r="H32" s="0" t="n">
        <v>3</v>
      </c>
    </row>
    <row r="33" customFormat="false" ht="15" hidden="false" customHeight="false" outlineLevel="0" collapsed="false">
      <c r="A33" s="0" t="s">
        <v>106</v>
      </c>
      <c r="B33" s="0" t="s">
        <v>88</v>
      </c>
      <c r="C33" s="0" t="s">
        <v>68</v>
      </c>
      <c r="D33" s="0" t="s">
        <v>40</v>
      </c>
      <c r="E33" s="0" t="s">
        <v>107</v>
      </c>
      <c r="F33" s="0" t="s">
        <v>28</v>
      </c>
      <c r="G33" s="0" t="s">
        <v>14</v>
      </c>
      <c r="H33" s="0" t="n">
        <v>5</v>
      </c>
    </row>
    <row r="34" customFormat="false" ht="15" hidden="false" customHeight="false" outlineLevel="0" collapsed="false">
      <c r="A34" s="0" t="s">
        <v>108</v>
      </c>
      <c r="B34" s="0" t="s">
        <v>98</v>
      </c>
      <c r="C34" s="0" t="s">
        <v>10</v>
      </c>
      <c r="D34" s="0" t="s">
        <v>11</v>
      </c>
      <c r="E34" s="0" t="s">
        <v>109</v>
      </c>
      <c r="F34" s="0" t="s">
        <v>37</v>
      </c>
      <c r="G34" s="0" t="s">
        <v>14</v>
      </c>
      <c r="H34" s="0" t="n">
        <v>3</v>
      </c>
    </row>
    <row r="35" customFormat="false" ht="15" hidden="false" customHeight="false" outlineLevel="0" collapsed="false">
      <c r="A35" s="0" t="s">
        <v>110</v>
      </c>
      <c r="B35" s="0" t="s">
        <v>43</v>
      </c>
      <c r="C35" s="0" t="s">
        <v>26</v>
      </c>
      <c r="D35" s="0" t="s">
        <v>22</v>
      </c>
      <c r="E35" s="0" t="s">
        <v>111</v>
      </c>
      <c r="F35" s="0" t="s">
        <v>13</v>
      </c>
      <c r="G35" s="0" t="s">
        <v>14</v>
      </c>
      <c r="H35" s="0" t="n">
        <v>4</v>
      </c>
    </row>
    <row r="36" customFormat="false" ht="15" hidden="false" customHeight="false" outlineLevel="0" collapsed="false">
      <c r="A36" s="0" t="s">
        <v>112</v>
      </c>
      <c r="B36" s="0" t="s">
        <v>113</v>
      </c>
      <c r="C36" s="0" t="s">
        <v>26</v>
      </c>
      <c r="D36" s="0" t="s">
        <v>10</v>
      </c>
      <c r="E36" s="0" t="s">
        <v>114</v>
      </c>
      <c r="F36" s="0" t="s">
        <v>37</v>
      </c>
      <c r="G36" s="0" t="s">
        <v>14</v>
      </c>
      <c r="H36" s="0" t="n">
        <v>5</v>
      </c>
    </row>
    <row r="37" customFormat="false" ht="15" hidden="false" customHeight="false" outlineLevel="0" collapsed="false">
      <c r="A37" s="0" t="s">
        <v>115</v>
      </c>
      <c r="B37" s="0" t="s">
        <v>63</v>
      </c>
      <c r="C37" s="0" t="s">
        <v>21</v>
      </c>
      <c r="D37" s="0" t="s">
        <v>10</v>
      </c>
      <c r="E37" s="0" t="s">
        <v>116</v>
      </c>
      <c r="F37" s="0" t="s">
        <v>13</v>
      </c>
      <c r="G37" s="0" t="s">
        <v>14</v>
      </c>
      <c r="H37" s="0" t="n">
        <v>4</v>
      </c>
    </row>
    <row r="38" customFormat="false" ht="15" hidden="false" customHeight="false" outlineLevel="0" collapsed="false">
      <c r="A38" s="0" t="s">
        <v>117</v>
      </c>
      <c r="B38" s="0" t="s">
        <v>118</v>
      </c>
      <c r="C38" s="0" t="s">
        <v>68</v>
      </c>
      <c r="D38" s="0" t="s">
        <v>11</v>
      </c>
      <c r="E38" s="0" t="s">
        <v>119</v>
      </c>
      <c r="F38" s="0" t="s">
        <v>28</v>
      </c>
      <c r="G38" s="0" t="s">
        <v>14</v>
      </c>
      <c r="H38" s="0" t="n">
        <v>4</v>
      </c>
    </row>
    <row r="39" customFormat="false" ht="15" hidden="false" customHeight="false" outlineLevel="0" collapsed="false">
      <c r="A39" s="0" t="s">
        <v>120</v>
      </c>
      <c r="B39" s="0" t="s">
        <v>101</v>
      </c>
      <c r="C39" s="0" t="s">
        <v>60</v>
      </c>
      <c r="D39" s="0" t="s">
        <v>121</v>
      </c>
      <c r="E39" s="0" t="s">
        <v>122</v>
      </c>
      <c r="F39" s="0" t="s">
        <v>37</v>
      </c>
      <c r="G39" s="0" t="s">
        <v>53</v>
      </c>
    </row>
    <row r="40" customFormat="false" ht="15" hidden="false" customHeight="false" outlineLevel="0" collapsed="false">
      <c r="A40" s="0" t="s">
        <v>123</v>
      </c>
      <c r="B40" s="0" t="s">
        <v>25</v>
      </c>
      <c r="C40" s="0" t="s">
        <v>60</v>
      </c>
      <c r="D40" s="0" t="s">
        <v>26</v>
      </c>
      <c r="E40" s="0" t="s">
        <v>124</v>
      </c>
      <c r="F40" s="0" t="s">
        <v>28</v>
      </c>
      <c r="G40" s="0" t="s">
        <v>14</v>
      </c>
      <c r="H40" s="0" t="n">
        <v>3</v>
      </c>
    </row>
    <row r="41" customFormat="false" ht="15" hidden="false" customHeight="false" outlineLevel="0" collapsed="false">
      <c r="A41" s="0" t="s">
        <v>125</v>
      </c>
      <c r="B41" s="0" t="s">
        <v>104</v>
      </c>
      <c r="C41" s="0" t="s">
        <v>21</v>
      </c>
      <c r="D41" s="0" t="s">
        <v>40</v>
      </c>
      <c r="E41" s="0" t="s">
        <v>126</v>
      </c>
      <c r="F41" s="0" t="s">
        <v>13</v>
      </c>
      <c r="G41" s="0" t="s">
        <v>14</v>
      </c>
      <c r="H41" s="0" t="n">
        <v>5</v>
      </c>
    </row>
    <row r="42" customFormat="false" ht="15" hidden="false" customHeight="false" outlineLevel="0" collapsed="false">
      <c r="A42" s="0" t="s">
        <v>127</v>
      </c>
      <c r="B42" s="0" t="s">
        <v>51</v>
      </c>
      <c r="C42" s="0" t="s">
        <v>11</v>
      </c>
      <c r="D42" s="0" t="s">
        <v>11</v>
      </c>
      <c r="E42" s="0" t="s">
        <v>128</v>
      </c>
      <c r="F42" s="0" t="s">
        <v>13</v>
      </c>
      <c r="G42" s="0" t="s">
        <v>53</v>
      </c>
    </row>
    <row r="43" customFormat="false" ht="15" hidden="false" customHeight="false" outlineLevel="0" collapsed="false">
      <c r="A43" s="0" t="s">
        <v>129</v>
      </c>
      <c r="B43" s="0" t="s">
        <v>39</v>
      </c>
      <c r="C43" s="0" t="s">
        <v>10</v>
      </c>
      <c r="D43" s="0" t="s">
        <v>22</v>
      </c>
      <c r="E43" s="0" t="s">
        <v>130</v>
      </c>
      <c r="F43" s="0" t="s">
        <v>13</v>
      </c>
      <c r="G43" s="0" t="s">
        <v>53</v>
      </c>
    </row>
    <row r="44" customFormat="false" ht="15" hidden="false" customHeight="false" outlineLevel="0" collapsed="false">
      <c r="A44" s="0" t="s">
        <v>131</v>
      </c>
      <c r="B44" s="0" t="s">
        <v>104</v>
      </c>
      <c r="C44" s="0" t="s">
        <v>26</v>
      </c>
      <c r="D44" s="0" t="s">
        <v>11</v>
      </c>
      <c r="E44" s="0" t="s">
        <v>132</v>
      </c>
      <c r="F44" s="0" t="s">
        <v>28</v>
      </c>
      <c r="G44" s="0" t="s">
        <v>14</v>
      </c>
      <c r="H44" s="0" t="n">
        <v>5</v>
      </c>
    </row>
    <row r="45" customFormat="false" ht="15" hidden="false" customHeight="false" outlineLevel="0" collapsed="false">
      <c r="A45" s="0" t="s">
        <v>133</v>
      </c>
      <c r="B45" s="0" t="s">
        <v>20</v>
      </c>
      <c r="C45" s="0" t="s">
        <v>31</v>
      </c>
      <c r="D45" s="0" t="s">
        <v>121</v>
      </c>
      <c r="E45" s="0" t="s">
        <v>134</v>
      </c>
      <c r="F45" s="0" t="s">
        <v>37</v>
      </c>
      <c r="G45" s="0" t="s">
        <v>14</v>
      </c>
      <c r="H45" s="0" t="n">
        <v>3</v>
      </c>
    </row>
    <row r="46" customFormat="false" ht="15" hidden="false" customHeight="false" outlineLevel="0" collapsed="false">
      <c r="A46" s="0" t="s">
        <v>135</v>
      </c>
      <c r="B46" s="0" t="s">
        <v>101</v>
      </c>
      <c r="C46" s="0" t="s">
        <v>68</v>
      </c>
      <c r="D46" s="0" t="s">
        <v>26</v>
      </c>
      <c r="E46" s="0" t="s">
        <v>136</v>
      </c>
      <c r="F46" s="0" t="s">
        <v>28</v>
      </c>
      <c r="G46" s="0" t="s">
        <v>14</v>
      </c>
      <c r="H46" s="0" t="n">
        <v>3</v>
      </c>
    </row>
    <row r="47" customFormat="false" ht="15" hidden="false" customHeight="false" outlineLevel="0" collapsed="false">
      <c r="A47" s="0" t="s">
        <v>137</v>
      </c>
      <c r="B47" s="0" t="s">
        <v>75</v>
      </c>
      <c r="C47" s="0" t="s">
        <v>60</v>
      </c>
      <c r="D47" s="0" t="s">
        <v>10</v>
      </c>
      <c r="E47" s="0" t="s">
        <v>138</v>
      </c>
      <c r="F47" s="0" t="s">
        <v>37</v>
      </c>
      <c r="G47" s="0" t="s">
        <v>14</v>
      </c>
      <c r="H47" s="0" t="n">
        <v>4</v>
      </c>
    </row>
    <row r="48" customFormat="false" ht="15" hidden="false" customHeight="false" outlineLevel="0" collapsed="false">
      <c r="A48" s="0" t="s">
        <v>139</v>
      </c>
      <c r="B48" s="0" t="s">
        <v>140</v>
      </c>
      <c r="C48" s="0" t="s">
        <v>31</v>
      </c>
      <c r="D48" s="0" t="s">
        <v>10</v>
      </c>
      <c r="E48" s="0" t="s">
        <v>141</v>
      </c>
      <c r="F48" s="0" t="s">
        <v>28</v>
      </c>
      <c r="G48" s="0" t="s">
        <v>14</v>
      </c>
      <c r="H48" s="0" t="n">
        <v>4</v>
      </c>
    </row>
    <row r="49" customFormat="false" ht="15" hidden="false" customHeight="false" outlineLevel="0" collapsed="false">
      <c r="A49" s="0" t="s">
        <v>142</v>
      </c>
      <c r="B49" s="0" t="s">
        <v>143</v>
      </c>
      <c r="C49" s="0" t="s">
        <v>35</v>
      </c>
      <c r="D49" s="0" t="s">
        <v>11</v>
      </c>
      <c r="E49" s="0" t="s">
        <v>144</v>
      </c>
      <c r="F49" s="0" t="s">
        <v>37</v>
      </c>
      <c r="G49" s="0" t="s">
        <v>14</v>
      </c>
      <c r="H49" s="0" t="n">
        <v>3</v>
      </c>
    </row>
    <row r="50" customFormat="false" ht="15" hidden="false" customHeight="false" outlineLevel="0" collapsed="false">
      <c r="A50" s="0" t="s">
        <v>145</v>
      </c>
      <c r="B50" s="0" t="s">
        <v>101</v>
      </c>
      <c r="C50" s="0" t="s">
        <v>10</v>
      </c>
      <c r="D50" s="0" t="s">
        <v>10</v>
      </c>
      <c r="E50" s="0" t="s">
        <v>146</v>
      </c>
      <c r="F50" s="0" t="s">
        <v>28</v>
      </c>
      <c r="G50" s="0" t="s">
        <v>14</v>
      </c>
      <c r="H50" s="0" t="n">
        <v>3</v>
      </c>
    </row>
    <row r="51" customFormat="false" ht="15" hidden="false" customHeight="false" outlineLevel="0" collapsed="false">
      <c r="A51" s="0" t="s">
        <v>147</v>
      </c>
      <c r="B51" s="0" t="s">
        <v>48</v>
      </c>
      <c r="C51" s="0" t="s">
        <v>31</v>
      </c>
      <c r="D51" s="0" t="s">
        <v>22</v>
      </c>
      <c r="E51" s="0" t="s">
        <v>148</v>
      </c>
      <c r="F51" s="0" t="s">
        <v>37</v>
      </c>
      <c r="G51" s="0" t="s">
        <v>14</v>
      </c>
      <c r="H51" s="0" t="n">
        <v>3</v>
      </c>
    </row>
    <row r="52" customFormat="false" ht="15" hidden="false" customHeight="false" outlineLevel="0" collapsed="false">
      <c r="A52" s="0" t="s">
        <v>149</v>
      </c>
      <c r="B52" s="0" t="s">
        <v>39</v>
      </c>
      <c r="C52" s="0" t="s">
        <v>68</v>
      </c>
      <c r="D52" s="0" t="s">
        <v>121</v>
      </c>
      <c r="E52" s="0" t="s">
        <v>150</v>
      </c>
      <c r="F52" s="0" t="s">
        <v>13</v>
      </c>
      <c r="G52" s="0" t="s">
        <v>14</v>
      </c>
      <c r="H52" s="0" t="n">
        <v>3</v>
      </c>
    </row>
    <row r="53" customFormat="false" ht="15" hidden="false" customHeight="false" outlineLevel="0" collapsed="false">
      <c r="A53" s="0" t="s">
        <v>151</v>
      </c>
      <c r="B53" s="0" t="s">
        <v>9</v>
      </c>
      <c r="C53" s="0" t="s">
        <v>35</v>
      </c>
      <c r="D53" s="0" t="s">
        <v>26</v>
      </c>
      <c r="E53" s="0" t="s">
        <v>152</v>
      </c>
      <c r="F53" s="0" t="s">
        <v>37</v>
      </c>
      <c r="G53" s="0" t="s">
        <v>14</v>
      </c>
      <c r="H53" s="0" t="n">
        <v>5</v>
      </c>
    </row>
    <row r="54" customFormat="false" ht="15" hidden="false" customHeight="false" outlineLevel="0" collapsed="false">
      <c r="A54" s="0" t="s">
        <v>153</v>
      </c>
      <c r="B54" s="0" t="s">
        <v>75</v>
      </c>
      <c r="C54" s="0" t="s">
        <v>10</v>
      </c>
      <c r="D54" s="0" t="s">
        <v>10</v>
      </c>
      <c r="E54" s="0" t="s">
        <v>154</v>
      </c>
      <c r="F54" s="0" t="s">
        <v>37</v>
      </c>
      <c r="G54" s="0" t="s">
        <v>14</v>
      </c>
      <c r="H54" s="0" t="n">
        <v>4</v>
      </c>
    </row>
    <row r="55" customFormat="false" ht="15" hidden="false" customHeight="false" outlineLevel="0" collapsed="false">
      <c r="A55" s="0" t="s">
        <v>155</v>
      </c>
      <c r="B55" s="0" t="s">
        <v>104</v>
      </c>
      <c r="C55" s="0" t="s">
        <v>11</v>
      </c>
      <c r="D55" s="0" t="s">
        <v>17</v>
      </c>
      <c r="E55" s="0" t="s">
        <v>156</v>
      </c>
      <c r="F55" s="0" t="s">
        <v>13</v>
      </c>
      <c r="G55" s="0" t="s">
        <v>14</v>
      </c>
      <c r="H55" s="0" t="n">
        <v>3</v>
      </c>
    </row>
    <row r="56" customFormat="false" ht="15" hidden="false" customHeight="false" outlineLevel="0" collapsed="false">
      <c r="A56" s="0" t="s">
        <v>157</v>
      </c>
      <c r="B56" s="0" t="s">
        <v>57</v>
      </c>
      <c r="C56" s="0" t="s">
        <v>31</v>
      </c>
      <c r="D56" s="0" t="s">
        <v>22</v>
      </c>
      <c r="E56" s="0" t="s">
        <v>158</v>
      </c>
      <c r="F56" s="0" t="s">
        <v>37</v>
      </c>
      <c r="G56" s="0" t="s">
        <v>14</v>
      </c>
      <c r="H56" s="0" t="n">
        <v>5</v>
      </c>
    </row>
    <row r="57" customFormat="false" ht="15" hidden="false" customHeight="false" outlineLevel="0" collapsed="false">
      <c r="A57" s="0" t="s">
        <v>159</v>
      </c>
      <c r="B57" s="0" t="s">
        <v>57</v>
      </c>
      <c r="C57" s="0" t="s">
        <v>68</v>
      </c>
      <c r="D57" s="0" t="s">
        <v>26</v>
      </c>
      <c r="E57" s="0" t="s">
        <v>116</v>
      </c>
      <c r="F57" s="0" t="s">
        <v>13</v>
      </c>
      <c r="G57" s="0" t="s">
        <v>53</v>
      </c>
    </row>
    <row r="58" customFormat="false" ht="15" hidden="false" customHeight="false" outlineLevel="0" collapsed="false">
      <c r="A58" s="0" t="s">
        <v>160</v>
      </c>
      <c r="B58" s="0" t="s">
        <v>25</v>
      </c>
      <c r="C58" s="0" t="s">
        <v>11</v>
      </c>
      <c r="D58" s="0" t="s">
        <v>17</v>
      </c>
      <c r="E58" s="0" t="s">
        <v>161</v>
      </c>
      <c r="F58" s="0" t="s">
        <v>13</v>
      </c>
      <c r="G58" s="0" t="s">
        <v>14</v>
      </c>
      <c r="H58" s="0" t="n">
        <v>4</v>
      </c>
    </row>
    <row r="59" customFormat="false" ht="15" hidden="false" customHeight="false" outlineLevel="0" collapsed="false">
      <c r="A59" s="0" t="s">
        <v>162</v>
      </c>
      <c r="B59" s="0" t="s">
        <v>25</v>
      </c>
      <c r="C59" s="0" t="s">
        <v>68</v>
      </c>
      <c r="D59" s="0" t="s">
        <v>22</v>
      </c>
      <c r="E59" s="0" t="s">
        <v>163</v>
      </c>
      <c r="F59" s="0" t="s">
        <v>13</v>
      </c>
      <c r="G59" s="0" t="s">
        <v>14</v>
      </c>
      <c r="H59" s="0" t="n">
        <v>3</v>
      </c>
    </row>
    <row r="60" customFormat="false" ht="15" hidden="false" customHeight="false" outlineLevel="0" collapsed="false">
      <c r="A60" s="0" t="s">
        <v>164</v>
      </c>
      <c r="B60" s="0" t="s">
        <v>165</v>
      </c>
      <c r="C60" s="0" t="s">
        <v>21</v>
      </c>
      <c r="D60" s="0" t="s">
        <v>85</v>
      </c>
      <c r="E60" s="0" t="s">
        <v>166</v>
      </c>
      <c r="F60" s="0" t="s">
        <v>13</v>
      </c>
      <c r="G60" s="0" t="s">
        <v>14</v>
      </c>
      <c r="H60" s="0" t="n">
        <v>4</v>
      </c>
    </row>
    <row r="61" customFormat="false" ht="15" hidden="false" customHeight="false" outlineLevel="0" collapsed="false">
      <c r="A61" s="0" t="s">
        <v>167</v>
      </c>
      <c r="B61" s="0" t="s">
        <v>168</v>
      </c>
      <c r="C61" s="0" t="s">
        <v>35</v>
      </c>
      <c r="D61" s="0" t="s">
        <v>22</v>
      </c>
      <c r="E61" s="0" t="s">
        <v>169</v>
      </c>
      <c r="F61" s="0" t="s">
        <v>13</v>
      </c>
      <c r="G61" s="0" t="s">
        <v>14</v>
      </c>
      <c r="H61" s="0" t="n">
        <v>4</v>
      </c>
    </row>
    <row r="62" customFormat="false" ht="15" hidden="false" customHeight="false" outlineLevel="0" collapsed="false">
      <c r="A62" s="0" t="s">
        <v>170</v>
      </c>
      <c r="B62" s="0" t="s">
        <v>95</v>
      </c>
      <c r="C62" s="0" t="s">
        <v>35</v>
      </c>
      <c r="D62" s="0" t="s">
        <v>10</v>
      </c>
      <c r="E62" s="0" t="s">
        <v>171</v>
      </c>
      <c r="F62" s="0" t="s">
        <v>28</v>
      </c>
      <c r="G62" s="0" t="s">
        <v>14</v>
      </c>
      <c r="H62" s="0" t="n">
        <v>4</v>
      </c>
    </row>
    <row r="63" customFormat="false" ht="15" hidden="false" customHeight="false" outlineLevel="0" collapsed="false">
      <c r="A63" s="0" t="s">
        <v>172</v>
      </c>
      <c r="B63" s="0" t="s">
        <v>88</v>
      </c>
      <c r="C63" s="0" t="s">
        <v>31</v>
      </c>
      <c r="D63" s="0" t="s">
        <v>11</v>
      </c>
      <c r="E63" s="0" t="s">
        <v>173</v>
      </c>
      <c r="F63" s="0" t="s">
        <v>28</v>
      </c>
      <c r="G63" s="0" t="s">
        <v>14</v>
      </c>
      <c r="H63" s="0" t="n">
        <v>4</v>
      </c>
    </row>
    <row r="64" customFormat="false" ht="15" hidden="false" customHeight="false" outlineLevel="0" collapsed="false">
      <c r="A64" s="0" t="s">
        <v>174</v>
      </c>
      <c r="B64" s="0" t="s">
        <v>98</v>
      </c>
      <c r="C64" s="0" t="s">
        <v>10</v>
      </c>
      <c r="D64" s="0" t="s">
        <v>17</v>
      </c>
      <c r="E64" s="0" t="s">
        <v>175</v>
      </c>
      <c r="F64" s="0" t="s">
        <v>37</v>
      </c>
      <c r="G64" s="0" t="s">
        <v>14</v>
      </c>
      <c r="H64" s="0" t="n">
        <v>4</v>
      </c>
    </row>
    <row r="65" customFormat="false" ht="15" hidden="false" customHeight="false" outlineLevel="0" collapsed="false">
      <c r="A65" s="0" t="s">
        <v>176</v>
      </c>
      <c r="B65" s="0" t="s">
        <v>34</v>
      </c>
      <c r="C65" s="0" t="s">
        <v>10</v>
      </c>
      <c r="D65" s="0" t="s">
        <v>17</v>
      </c>
      <c r="E65" s="0" t="s">
        <v>177</v>
      </c>
      <c r="F65" s="0" t="s">
        <v>28</v>
      </c>
      <c r="G65" s="0" t="s">
        <v>14</v>
      </c>
      <c r="H65" s="0" t="n">
        <v>4</v>
      </c>
    </row>
    <row r="66" customFormat="false" ht="15" hidden="false" customHeight="false" outlineLevel="0" collapsed="false">
      <c r="A66" s="0" t="s">
        <v>178</v>
      </c>
      <c r="B66" s="0" t="s">
        <v>75</v>
      </c>
      <c r="C66" s="0" t="s">
        <v>26</v>
      </c>
      <c r="D66" s="0" t="s">
        <v>40</v>
      </c>
      <c r="E66" s="0" t="s">
        <v>179</v>
      </c>
      <c r="F66" s="0" t="s">
        <v>13</v>
      </c>
      <c r="G66" s="0" t="s">
        <v>53</v>
      </c>
    </row>
    <row r="67" customFormat="false" ht="15" hidden="false" customHeight="false" outlineLevel="0" collapsed="false">
      <c r="A67" s="0" t="s">
        <v>180</v>
      </c>
      <c r="B67" s="0" t="s">
        <v>51</v>
      </c>
      <c r="C67" s="0" t="s">
        <v>31</v>
      </c>
      <c r="D67" s="0" t="s">
        <v>40</v>
      </c>
      <c r="E67" s="0" t="s">
        <v>181</v>
      </c>
      <c r="F67" s="0" t="s">
        <v>37</v>
      </c>
      <c r="G67" s="0" t="s">
        <v>53</v>
      </c>
    </row>
    <row r="68" customFormat="false" ht="15" hidden="false" customHeight="false" outlineLevel="0" collapsed="false">
      <c r="A68" s="0" t="s">
        <v>182</v>
      </c>
      <c r="B68" s="0" t="s">
        <v>20</v>
      </c>
      <c r="C68" s="0" t="s">
        <v>35</v>
      </c>
      <c r="D68" s="0" t="s">
        <v>17</v>
      </c>
      <c r="E68" s="0" t="s">
        <v>183</v>
      </c>
      <c r="F68" s="0" t="s">
        <v>28</v>
      </c>
      <c r="G68" s="0" t="s">
        <v>14</v>
      </c>
      <c r="H68" s="0" t="n">
        <v>5</v>
      </c>
    </row>
    <row r="69" customFormat="false" ht="15" hidden="false" customHeight="false" outlineLevel="0" collapsed="false">
      <c r="A69" s="0" t="s">
        <v>184</v>
      </c>
      <c r="B69" s="0" t="s">
        <v>140</v>
      </c>
      <c r="C69" s="0" t="s">
        <v>26</v>
      </c>
      <c r="D69" s="0" t="s">
        <v>17</v>
      </c>
      <c r="E69" s="0" t="s">
        <v>185</v>
      </c>
      <c r="F69" s="0" t="s">
        <v>37</v>
      </c>
      <c r="G69" s="0" t="s">
        <v>14</v>
      </c>
      <c r="H69" s="0" t="n">
        <v>3</v>
      </c>
    </row>
    <row r="70" customFormat="false" ht="15" hidden="false" customHeight="false" outlineLevel="0" collapsed="false">
      <c r="A70" s="0" t="s">
        <v>186</v>
      </c>
      <c r="B70" s="0" t="s">
        <v>34</v>
      </c>
      <c r="C70" s="0" t="s">
        <v>35</v>
      </c>
      <c r="D70" s="0" t="s">
        <v>17</v>
      </c>
      <c r="E70" s="0" t="s">
        <v>187</v>
      </c>
      <c r="F70" s="0" t="s">
        <v>28</v>
      </c>
      <c r="G70" s="0" t="s">
        <v>14</v>
      </c>
      <c r="H70" s="0" t="n">
        <v>4</v>
      </c>
    </row>
    <row r="71" customFormat="false" ht="15" hidden="false" customHeight="false" outlineLevel="0" collapsed="false">
      <c r="A71" s="0" t="s">
        <v>188</v>
      </c>
      <c r="B71" s="0" t="s">
        <v>25</v>
      </c>
      <c r="C71" s="0" t="s">
        <v>31</v>
      </c>
      <c r="D71" s="0" t="s">
        <v>85</v>
      </c>
      <c r="E71" s="0" t="s">
        <v>152</v>
      </c>
      <c r="F71" s="0" t="s">
        <v>28</v>
      </c>
      <c r="G71" s="0" t="s">
        <v>14</v>
      </c>
      <c r="H71" s="0" t="n">
        <v>5</v>
      </c>
    </row>
    <row r="72" customFormat="false" ht="15" hidden="false" customHeight="false" outlineLevel="0" collapsed="false">
      <c r="A72" s="0" t="s">
        <v>189</v>
      </c>
      <c r="B72" s="0" t="s">
        <v>190</v>
      </c>
      <c r="C72" s="0" t="s">
        <v>11</v>
      </c>
      <c r="D72" s="0" t="s">
        <v>10</v>
      </c>
      <c r="E72" s="0" t="s">
        <v>191</v>
      </c>
      <c r="F72" s="0" t="s">
        <v>37</v>
      </c>
      <c r="G72" s="0" t="s">
        <v>14</v>
      </c>
      <c r="H72" s="0" t="n">
        <v>5</v>
      </c>
    </row>
    <row r="73" customFormat="false" ht="15" hidden="false" customHeight="false" outlineLevel="0" collapsed="false">
      <c r="A73" s="0" t="s">
        <v>192</v>
      </c>
      <c r="B73" s="0" t="s">
        <v>95</v>
      </c>
      <c r="C73" s="0" t="s">
        <v>10</v>
      </c>
      <c r="D73" s="0" t="s">
        <v>22</v>
      </c>
      <c r="E73" s="0" t="s">
        <v>193</v>
      </c>
      <c r="F73" s="0" t="s">
        <v>13</v>
      </c>
      <c r="G73" s="0" t="s">
        <v>14</v>
      </c>
      <c r="H73" s="0" t="n">
        <v>3</v>
      </c>
    </row>
    <row r="74" customFormat="false" ht="15" hidden="false" customHeight="false" outlineLevel="0" collapsed="false">
      <c r="A74" s="0" t="s">
        <v>194</v>
      </c>
      <c r="B74" s="0" t="s">
        <v>75</v>
      </c>
      <c r="C74" s="0" t="s">
        <v>21</v>
      </c>
      <c r="D74" s="0" t="s">
        <v>22</v>
      </c>
      <c r="E74" s="0" t="s">
        <v>195</v>
      </c>
      <c r="F74" s="0" t="s">
        <v>37</v>
      </c>
      <c r="G74" s="0" t="s">
        <v>53</v>
      </c>
    </row>
    <row r="75" customFormat="false" ht="15" hidden="false" customHeight="false" outlineLevel="0" collapsed="false">
      <c r="A75" s="0" t="s">
        <v>196</v>
      </c>
      <c r="B75" s="0" t="s">
        <v>39</v>
      </c>
      <c r="C75" s="0" t="s">
        <v>60</v>
      </c>
      <c r="D75" s="0" t="s">
        <v>17</v>
      </c>
      <c r="E75" s="0" t="s">
        <v>197</v>
      </c>
      <c r="F75" s="0" t="s">
        <v>37</v>
      </c>
      <c r="G75" s="0" t="s">
        <v>14</v>
      </c>
      <c r="H75" s="0" t="n">
        <v>4</v>
      </c>
    </row>
    <row r="76" customFormat="false" ht="15" hidden="false" customHeight="false" outlineLevel="0" collapsed="false">
      <c r="A76" s="0" t="s">
        <v>198</v>
      </c>
      <c r="B76" s="0" t="s">
        <v>165</v>
      </c>
      <c r="C76" s="0" t="s">
        <v>26</v>
      </c>
      <c r="D76" s="0" t="s">
        <v>26</v>
      </c>
      <c r="E76" s="0" t="s">
        <v>199</v>
      </c>
      <c r="F76" s="0" t="s">
        <v>13</v>
      </c>
      <c r="G76" s="0" t="s">
        <v>14</v>
      </c>
      <c r="H76" s="0" t="n">
        <v>3</v>
      </c>
    </row>
    <row r="77" customFormat="false" ht="15" hidden="false" customHeight="false" outlineLevel="0" collapsed="false">
      <c r="A77" s="0" t="s">
        <v>200</v>
      </c>
      <c r="B77" s="0" t="s">
        <v>201</v>
      </c>
      <c r="C77" s="0" t="s">
        <v>60</v>
      </c>
      <c r="D77" s="0" t="s">
        <v>11</v>
      </c>
      <c r="E77" s="0" t="s">
        <v>202</v>
      </c>
      <c r="F77" s="0" t="s">
        <v>13</v>
      </c>
      <c r="G77" s="0" t="s">
        <v>14</v>
      </c>
      <c r="H77" s="0" t="n">
        <v>4</v>
      </c>
    </row>
    <row r="78" customFormat="false" ht="15" hidden="false" customHeight="false" outlineLevel="0" collapsed="false">
      <c r="A78" s="0" t="s">
        <v>203</v>
      </c>
      <c r="B78" s="0" t="s">
        <v>88</v>
      </c>
      <c r="C78" s="0" t="s">
        <v>31</v>
      </c>
      <c r="D78" s="0" t="s">
        <v>85</v>
      </c>
      <c r="E78" s="0" t="s">
        <v>204</v>
      </c>
      <c r="F78" s="0" t="s">
        <v>28</v>
      </c>
      <c r="G78" s="0" t="s">
        <v>53</v>
      </c>
    </row>
    <row r="79" customFormat="false" ht="15" hidden="false" customHeight="false" outlineLevel="0" collapsed="false">
      <c r="A79" s="0" t="s">
        <v>205</v>
      </c>
      <c r="B79" s="0" t="s">
        <v>63</v>
      </c>
      <c r="C79" s="0" t="s">
        <v>60</v>
      </c>
      <c r="D79" s="0" t="s">
        <v>26</v>
      </c>
      <c r="E79" s="0" t="s">
        <v>206</v>
      </c>
      <c r="F79" s="0" t="s">
        <v>28</v>
      </c>
      <c r="G79" s="0" t="s">
        <v>14</v>
      </c>
      <c r="H79" s="0" t="n">
        <v>3</v>
      </c>
    </row>
    <row r="80" customFormat="false" ht="15" hidden="false" customHeight="false" outlineLevel="0" collapsed="false">
      <c r="A80" s="0" t="s">
        <v>207</v>
      </c>
      <c r="B80" s="0" t="s">
        <v>143</v>
      </c>
      <c r="C80" s="0" t="s">
        <v>35</v>
      </c>
      <c r="D80" s="0" t="s">
        <v>85</v>
      </c>
      <c r="E80" s="0" t="s">
        <v>208</v>
      </c>
      <c r="F80" s="0" t="s">
        <v>28</v>
      </c>
      <c r="G80" s="0" t="s">
        <v>14</v>
      </c>
      <c r="H80" s="0" t="n">
        <v>5</v>
      </c>
    </row>
    <row r="81" customFormat="false" ht="15" hidden="false" customHeight="false" outlineLevel="0" collapsed="false">
      <c r="A81" s="0" t="s">
        <v>209</v>
      </c>
      <c r="B81" s="0" t="s">
        <v>78</v>
      </c>
      <c r="C81" s="0" t="s">
        <v>26</v>
      </c>
      <c r="D81" s="0" t="s">
        <v>121</v>
      </c>
      <c r="E81" s="0" t="s">
        <v>210</v>
      </c>
      <c r="F81" s="0" t="s">
        <v>28</v>
      </c>
      <c r="G81" s="0" t="s">
        <v>53</v>
      </c>
    </row>
    <row r="82" customFormat="false" ht="15" hidden="false" customHeight="false" outlineLevel="0" collapsed="false">
      <c r="A82" s="0" t="s">
        <v>211</v>
      </c>
      <c r="B82" s="0" t="s">
        <v>39</v>
      </c>
      <c r="C82" s="0" t="s">
        <v>11</v>
      </c>
      <c r="D82" s="0" t="s">
        <v>26</v>
      </c>
      <c r="E82" s="0" t="s">
        <v>212</v>
      </c>
      <c r="F82" s="0" t="s">
        <v>28</v>
      </c>
      <c r="G82" s="0" t="s">
        <v>14</v>
      </c>
      <c r="H82" s="0" t="n">
        <v>5</v>
      </c>
    </row>
    <row r="83" customFormat="false" ht="15" hidden="false" customHeight="false" outlineLevel="0" collapsed="false">
      <c r="A83" s="0" t="s">
        <v>213</v>
      </c>
      <c r="B83" s="0" t="s">
        <v>118</v>
      </c>
      <c r="C83" s="0" t="s">
        <v>10</v>
      </c>
      <c r="D83" s="0" t="s">
        <v>17</v>
      </c>
      <c r="E83" s="0" t="s">
        <v>214</v>
      </c>
      <c r="F83" s="0" t="s">
        <v>28</v>
      </c>
      <c r="G83" s="0" t="s">
        <v>14</v>
      </c>
      <c r="H83" s="0" t="n">
        <v>4</v>
      </c>
    </row>
    <row r="84" customFormat="false" ht="15" hidden="false" customHeight="false" outlineLevel="0" collapsed="false">
      <c r="A84" s="0" t="s">
        <v>215</v>
      </c>
      <c r="B84" s="0" t="s">
        <v>98</v>
      </c>
      <c r="C84" s="0" t="s">
        <v>26</v>
      </c>
      <c r="D84" s="0" t="s">
        <v>17</v>
      </c>
      <c r="E84" s="0" t="s">
        <v>216</v>
      </c>
      <c r="F84" s="0" t="s">
        <v>37</v>
      </c>
      <c r="G84" s="0" t="s">
        <v>53</v>
      </c>
    </row>
    <row r="85" customFormat="false" ht="15" hidden="false" customHeight="false" outlineLevel="0" collapsed="false">
      <c r="A85" s="0" t="s">
        <v>217</v>
      </c>
      <c r="B85" s="0" t="s">
        <v>75</v>
      </c>
      <c r="C85" s="0" t="s">
        <v>68</v>
      </c>
      <c r="D85" s="0" t="s">
        <v>85</v>
      </c>
      <c r="E85" s="0" t="s">
        <v>218</v>
      </c>
      <c r="F85" s="0" t="s">
        <v>28</v>
      </c>
      <c r="G85" s="0" t="s">
        <v>14</v>
      </c>
      <c r="H85" s="0" t="n">
        <v>4</v>
      </c>
    </row>
    <row r="86" customFormat="false" ht="15" hidden="false" customHeight="false" outlineLevel="0" collapsed="false">
      <c r="A86" s="0" t="s">
        <v>219</v>
      </c>
      <c r="B86" s="0" t="s">
        <v>220</v>
      </c>
      <c r="C86" s="0" t="s">
        <v>68</v>
      </c>
      <c r="D86" s="0" t="s">
        <v>22</v>
      </c>
      <c r="E86" s="0" t="s">
        <v>221</v>
      </c>
      <c r="F86" s="0" t="s">
        <v>13</v>
      </c>
      <c r="G86" s="0" t="s">
        <v>14</v>
      </c>
      <c r="H86" s="0" t="n">
        <v>4</v>
      </c>
    </row>
    <row r="87" customFormat="false" ht="15" hidden="false" customHeight="false" outlineLevel="0" collapsed="false">
      <c r="A87" s="0" t="s">
        <v>222</v>
      </c>
      <c r="B87" s="0" t="s">
        <v>75</v>
      </c>
      <c r="C87" s="0" t="s">
        <v>68</v>
      </c>
      <c r="D87" s="0" t="s">
        <v>40</v>
      </c>
      <c r="E87" s="0" t="s">
        <v>223</v>
      </c>
      <c r="F87" s="0" t="s">
        <v>37</v>
      </c>
      <c r="G87" s="0" t="s">
        <v>14</v>
      </c>
      <c r="H87" s="0" t="n">
        <v>4</v>
      </c>
    </row>
    <row r="88" customFormat="false" ht="15" hidden="false" customHeight="false" outlineLevel="0" collapsed="false">
      <c r="A88" s="0" t="s">
        <v>224</v>
      </c>
      <c r="B88" s="0" t="s">
        <v>51</v>
      </c>
      <c r="C88" s="0" t="s">
        <v>11</v>
      </c>
      <c r="D88" s="0" t="s">
        <v>11</v>
      </c>
      <c r="E88" s="0" t="s">
        <v>225</v>
      </c>
      <c r="F88" s="0" t="s">
        <v>37</v>
      </c>
      <c r="G88" s="0" t="s">
        <v>14</v>
      </c>
      <c r="H88" s="0" t="n">
        <v>3</v>
      </c>
    </row>
    <row r="89" customFormat="false" ht="15" hidden="false" customHeight="false" outlineLevel="0" collapsed="false">
      <c r="A89" s="0" t="s">
        <v>226</v>
      </c>
      <c r="B89" s="0" t="s">
        <v>39</v>
      </c>
      <c r="C89" s="0" t="s">
        <v>68</v>
      </c>
      <c r="D89" s="0" t="s">
        <v>26</v>
      </c>
      <c r="E89" s="0" t="s">
        <v>227</v>
      </c>
      <c r="F89" s="0" t="s">
        <v>13</v>
      </c>
      <c r="G89" s="0" t="s">
        <v>14</v>
      </c>
      <c r="H89" s="0" t="n">
        <v>4</v>
      </c>
    </row>
    <row r="90" customFormat="false" ht="15" hidden="false" customHeight="false" outlineLevel="0" collapsed="false">
      <c r="A90" s="0" t="s">
        <v>228</v>
      </c>
      <c r="B90" s="0" t="s">
        <v>95</v>
      </c>
      <c r="C90" s="0" t="s">
        <v>26</v>
      </c>
      <c r="D90" s="0" t="s">
        <v>85</v>
      </c>
      <c r="E90" s="0" t="s">
        <v>229</v>
      </c>
      <c r="F90" s="0" t="s">
        <v>28</v>
      </c>
      <c r="G90" s="0" t="s">
        <v>14</v>
      </c>
      <c r="H90" s="0" t="n">
        <v>4</v>
      </c>
    </row>
    <row r="91" customFormat="false" ht="15" hidden="false" customHeight="false" outlineLevel="0" collapsed="false">
      <c r="A91" s="0" t="s">
        <v>230</v>
      </c>
      <c r="B91" s="0" t="s">
        <v>101</v>
      </c>
      <c r="C91" s="0" t="s">
        <v>68</v>
      </c>
      <c r="D91" s="0" t="s">
        <v>121</v>
      </c>
      <c r="E91" s="0" t="s">
        <v>132</v>
      </c>
      <c r="F91" s="0" t="s">
        <v>28</v>
      </c>
      <c r="G91" s="0" t="s">
        <v>14</v>
      </c>
      <c r="H91" s="0" t="n">
        <v>5</v>
      </c>
    </row>
    <row r="92" customFormat="false" ht="15" hidden="false" customHeight="false" outlineLevel="0" collapsed="false">
      <c r="A92" s="0" t="s">
        <v>231</v>
      </c>
      <c r="B92" s="0" t="s">
        <v>98</v>
      </c>
      <c r="C92" s="0" t="s">
        <v>31</v>
      </c>
      <c r="D92" s="0" t="s">
        <v>22</v>
      </c>
      <c r="E92" s="0" t="s">
        <v>232</v>
      </c>
      <c r="F92" s="0" t="s">
        <v>37</v>
      </c>
      <c r="G92" s="0" t="s">
        <v>14</v>
      </c>
      <c r="H92" s="0" t="n">
        <v>3</v>
      </c>
    </row>
    <row r="93" customFormat="false" ht="15" hidden="false" customHeight="false" outlineLevel="0" collapsed="false">
      <c r="A93" s="0" t="s">
        <v>233</v>
      </c>
      <c r="B93" s="0" t="s">
        <v>43</v>
      </c>
      <c r="C93" s="0" t="s">
        <v>26</v>
      </c>
      <c r="D93" s="0" t="s">
        <v>11</v>
      </c>
      <c r="E93" s="0" t="s">
        <v>234</v>
      </c>
      <c r="F93" s="0" t="s">
        <v>13</v>
      </c>
      <c r="G93" s="0" t="s">
        <v>14</v>
      </c>
      <c r="H93" s="0" t="n">
        <v>5</v>
      </c>
    </row>
    <row r="94" customFormat="false" ht="15" hidden="false" customHeight="false" outlineLevel="0" collapsed="false">
      <c r="A94" s="0" t="s">
        <v>235</v>
      </c>
      <c r="B94" s="0" t="s">
        <v>16</v>
      </c>
      <c r="C94" s="0" t="s">
        <v>26</v>
      </c>
      <c r="D94" s="0" t="s">
        <v>85</v>
      </c>
      <c r="E94" s="0" t="s">
        <v>236</v>
      </c>
      <c r="F94" s="0" t="s">
        <v>28</v>
      </c>
      <c r="G94" s="0" t="s">
        <v>14</v>
      </c>
      <c r="H94" s="0" t="n">
        <v>5</v>
      </c>
    </row>
    <row r="95" customFormat="false" ht="15" hidden="false" customHeight="false" outlineLevel="0" collapsed="false">
      <c r="A95" s="0" t="s">
        <v>237</v>
      </c>
      <c r="B95" s="0" t="s">
        <v>238</v>
      </c>
      <c r="C95" s="0" t="s">
        <v>10</v>
      </c>
      <c r="D95" s="0" t="s">
        <v>26</v>
      </c>
      <c r="E95" s="0" t="s">
        <v>239</v>
      </c>
      <c r="F95" s="0" t="s">
        <v>13</v>
      </c>
      <c r="G95" s="0" t="s">
        <v>14</v>
      </c>
      <c r="H95" s="0" t="n">
        <v>4</v>
      </c>
    </row>
    <row r="96" customFormat="false" ht="15" hidden="false" customHeight="false" outlineLevel="0" collapsed="false">
      <c r="A96" s="0" t="s">
        <v>240</v>
      </c>
      <c r="B96" s="0" t="s">
        <v>104</v>
      </c>
      <c r="C96" s="0" t="s">
        <v>68</v>
      </c>
      <c r="D96" s="0" t="s">
        <v>17</v>
      </c>
      <c r="E96" s="0" t="s">
        <v>241</v>
      </c>
      <c r="F96" s="0" t="s">
        <v>13</v>
      </c>
      <c r="G96" s="0" t="s">
        <v>14</v>
      </c>
      <c r="H96" s="0" t="n">
        <v>5</v>
      </c>
    </row>
    <row r="97" customFormat="false" ht="15" hidden="false" customHeight="false" outlineLevel="0" collapsed="false">
      <c r="A97" s="0" t="s">
        <v>242</v>
      </c>
      <c r="B97" s="0" t="s">
        <v>43</v>
      </c>
      <c r="C97" s="0" t="s">
        <v>10</v>
      </c>
      <c r="D97" s="0" t="s">
        <v>121</v>
      </c>
      <c r="E97" s="0" t="s">
        <v>243</v>
      </c>
      <c r="F97" s="0" t="s">
        <v>37</v>
      </c>
      <c r="G97" s="0" t="s">
        <v>14</v>
      </c>
      <c r="H97" s="0" t="n">
        <v>4</v>
      </c>
    </row>
    <row r="98" customFormat="false" ht="15" hidden="false" customHeight="false" outlineLevel="0" collapsed="false">
      <c r="A98" s="0" t="s">
        <v>244</v>
      </c>
      <c r="B98" s="0" t="s">
        <v>63</v>
      </c>
      <c r="C98" s="0" t="s">
        <v>68</v>
      </c>
      <c r="D98" s="0" t="s">
        <v>40</v>
      </c>
      <c r="E98" s="0" t="s">
        <v>86</v>
      </c>
      <c r="F98" s="0" t="s">
        <v>37</v>
      </c>
      <c r="G98" s="0" t="s">
        <v>14</v>
      </c>
      <c r="H98" s="0" t="n">
        <v>3</v>
      </c>
    </row>
    <row r="99" customFormat="false" ht="15" hidden="false" customHeight="false" outlineLevel="0" collapsed="false">
      <c r="A99" s="0" t="s">
        <v>245</v>
      </c>
      <c r="B99" s="0" t="s">
        <v>220</v>
      </c>
      <c r="C99" s="0" t="s">
        <v>68</v>
      </c>
      <c r="D99" s="0" t="s">
        <v>85</v>
      </c>
      <c r="E99" s="0" t="s">
        <v>246</v>
      </c>
      <c r="F99" s="0" t="s">
        <v>28</v>
      </c>
      <c r="G99" s="0" t="s">
        <v>53</v>
      </c>
    </row>
    <row r="100" customFormat="false" ht="15" hidden="false" customHeight="false" outlineLevel="0" collapsed="false">
      <c r="A100" s="0" t="s">
        <v>247</v>
      </c>
      <c r="B100" s="0" t="s">
        <v>9</v>
      </c>
      <c r="C100" s="0" t="s">
        <v>60</v>
      </c>
      <c r="D100" s="0" t="s">
        <v>26</v>
      </c>
      <c r="E100" s="0" t="s">
        <v>248</v>
      </c>
      <c r="F100" s="0" t="s">
        <v>13</v>
      </c>
      <c r="G100" s="0" t="s">
        <v>14</v>
      </c>
      <c r="H100" s="0" t="n">
        <v>5</v>
      </c>
    </row>
    <row r="101" customFormat="false" ht="15" hidden="false" customHeight="false" outlineLevel="0" collapsed="false">
      <c r="A101" s="0" t="s">
        <v>249</v>
      </c>
      <c r="B101" s="0" t="s">
        <v>101</v>
      </c>
      <c r="C101" s="0" t="s">
        <v>60</v>
      </c>
      <c r="D101" s="0" t="s">
        <v>85</v>
      </c>
      <c r="E101" s="0" t="s">
        <v>250</v>
      </c>
      <c r="F101" s="0" t="s">
        <v>37</v>
      </c>
      <c r="G101" s="0" t="s">
        <v>14</v>
      </c>
      <c r="H101" s="0" t="n">
        <v>4</v>
      </c>
    </row>
    <row r="102" customFormat="false" ht="15" hidden="false" customHeight="false" outlineLevel="0" collapsed="false">
      <c r="A102" s="0" t="s">
        <v>251</v>
      </c>
      <c r="B102" s="0" t="s">
        <v>220</v>
      </c>
      <c r="C102" s="0" t="s">
        <v>26</v>
      </c>
      <c r="D102" s="0" t="s">
        <v>10</v>
      </c>
      <c r="E102" s="0" t="s">
        <v>171</v>
      </c>
      <c r="F102" s="0" t="s">
        <v>28</v>
      </c>
      <c r="G102" s="0" t="s">
        <v>14</v>
      </c>
      <c r="H102" s="0" t="n">
        <v>4</v>
      </c>
    </row>
    <row r="103" customFormat="false" ht="15" hidden="false" customHeight="false" outlineLevel="0" collapsed="false">
      <c r="A103" s="0" t="s">
        <v>252</v>
      </c>
      <c r="B103" s="0" t="s">
        <v>104</v>
      </c>
      <c r="C103" s="0" t="s">
        <v>68</v>
      </c>
      <c r="D103" s="0" t="s">
        <v>40</v>
      </c>
      <c r="E103" s="0" t="s">
        <v>253</v>
      </c>
      <c r="F103" s="0" t="s">
        <v>28</v>
      </c>
      <c r="G103" s="0" t="s">
        <v>53</v>
      </c>
    </row>
    <row r="104" customFormat="false" ht="15" hidden="false" customHeight="false" outlineLevel="0" collapsed="false">
      <c r="A104" s="0" t="s">
        <v>254</v>
      </c>
      <c r="B104" s="0" t="s">
        <v>201</v>
      </c>
      <c r="C104" s="0" t="s">
        <v>60</v>
      </c>
      <c r="D104" s="0" t="s">
        <v>22</v>
      </c>
      <c r="E104" s="0" t="s">
        <v>255</v>
      </c>
      <c r="F104" s="0" t="s">
        <v>28</v>
      </c>
      <c r="G104" s="0" t="s">
        <v>14</v>
      </c>
      <c r="H104" s="0" t="n">
        <v>5</v>
      </c>
    </row>
    <row r="105" customFormat="false" ht="15" hidden="false" customHeight="false" outlineLevel="0" collapsed="false">
      <c r="A105" s="0" t="s">
        <v>256</v>
      </c>
      <c r="B105" s="0" t="s">
        <v>48</v>
      </c>
      <c r="C105" s="0" t="s">
        <v>35</v>
      </c>
      <c r="D105" s="0" t="s">
        <v>11</v>
      </c>
      <c r="E105" s="0" t="s">
        <v>257</v>
      </c>
      <c r="F105" s="0" t="s">
        <v>13</v>
      </c>
      <c r="G105" s="0" t="s">
        <v>14</v>
      </c>
      <c r="H105" s="0" t="n">
        <v>4</v>
      </c>
    </row>
    <row r="106" customFormat="false" ht="15" hidden="false" customHeight="false" outlineLevel="0" collapsed="false">
      <c r="A106" s="0" t="s">
        <v>258</v>
      </c>
      <c r="B106" s="0" t="s">
        <v>190</v>
      </c>
      <c r="C106" s="0" t="s">
        <v>26</v>
      </c>
      <c r="D106" s="0" t="s">
        <v>85</v>
      </c>
      <c r="E106" s="0" t="s">
        <v>259</v>
      </c>
      <c r="F106" s="0" t="s">
        <v>28</v>
      </c>
      <c r="G106" s="0" t="s">
        <v>14</v>
      </c>
      <c r="H106" s="0" t="n">
        <v>3</v>
      </c>
    </row>
    <row r="107" customFormat="false" ht="15" hidden="false" customHeight="false" outlineLevel="0" collapsed="false">
      <c r="A107" s="0" t="s">
        <v>260</v>
      </c>
      <c r="B107" s="0" t="s">
        <v>78</v>
      </c>
      <c r="C107" s="0" t="s">
        <v>26</v>
      </c>
      <c r="D107" s="0" t="s">
        <v>17</v>
      </c>
      <c r="E107" s="0" t="s">
        <v>261</v>
      </c>
      <c r="F107" s="0" t="s">
        <v>28</v>
      </c>
      <c r="G107" s="0" t="s">
        <v>14</v>
      </c>
      <c r="H107" s="0" t="n">
        <v>4</v>
      </c>
    </row>
    <row r="108" customFormat="false" ht="15" hidden="false" customHeight="false" outlineLevel="0" collapsed="false">
      <c r="A108" s="0" t="s">
        <v>262</v>
      </c>
      <c r="B108" s="0" t="s">
        <v>190</v>
      </c>
      <c r="C108" s="0" t="s">
        <v>31</v>
      </c>
      <c r="D108" s="0" t="s">
        <v>17</v>
      </c>
      <c r="E108" s="0" t="s">
        <v>263</v>
      </c>
      <c r="F108" s="0" t="s">
        <v>28</v>
      </c>
      <c r="G108" s="0" t="s">
        <v>14</v>
      </c>
      <c r="H108" s="0" t="n">
        <v>4</v>
      </c>
    </row>
    <row r="109" customFormat="false" ht="15" hidden="false" customHeight="false" outlineLevel="0" collapsed="false">
      <c r="A109" s="0" t="s">
        <v>264</v>
      </c>
      <c r="B109" s="0" t="s">
        <v>78</v>
      </c>
      <c r="C109" s="0" t="s">
        <v>35</v>
      </c>
      <c r="D109" s="0" t="s">
        <v>22</v>
      </c>
      <c r="E109" s="0" t="s">
        <v>243</v>
      </c>
      <c r="F109" s="0" t="s">
        <v>37</v>
      </c>
      <c r="G109" s="0" t="s">
        <v>14</v>
      </c>
      <c r="H109" s="0" t="n">
        <v>3</v>
      </c>
    </row>
    <row r="110" customFormat="false" ht="15" hidden="false" customHeight="false" outlineLevel="0" collapsed="false">
      <c r="A110" s="0" t="s">
        <v>265</v>
      </c>
      <c r="B110" s="0" t="s">
        <v>238</v>
      </c>
      <c r="C110" s="0" t="s">
        <v>11</v>
      </c>
      <c r="D110" s="0" t="s">
        <v>22</v>
      </c>
      <c r="E110" s="0" t="s">
        <v>266</v>
      </c>
      <c r="F110" s="0" t="s">
        <v>37</v>
      </c>
      <c r="G110" s="0" t="s">
        <v>14</v>
      </c>
      <c r="H110" s="0" t="n">
        <v>5</v>
      </c>
    </row>
    <row r="111" customFormat="false" ht="15" hidden="false" customHeight="false" outlineLevel="0" collapsed="false">
      <c r="A111" s="0" t="s">
        <v>267</v>
      </c>
      <c r="B111" s="0" t="s">
        <v>104</v>
      </c>
      <c r="C111" s="0" t="s">
        <v>35</v>
      </c>
      <c r="D111" s="0" t="s">
        <v>10</v>
      </c>
      <c r="E111" s="0" t="s">
        <v>268</v>
      </c>
      <c r="F111" s="0" t="s">
        <v>28</v>
      </c>
      <c r="G111" s="0" t="s">
        <v>14</v>
      </c>
      <c r="H111" s="0" t="n">
        <v>3</v>
      </c>
    </row>
    <row r="112" customFormat="false" ht="15" hidden="false" customHeight="false" outlineLevel="0" collapsed="false">
      <c r="A112" s="0" t="s">
        <v>269</v>
      </c>
      <c r="B112" s="0" t="s">
        <v>78</v>
      </c>
      <c r="C112" s="0" t="s">
        <v>21</v>
      </c>
      <c r="D112" s="0" t="s">
        <v>26</v>
      </c>
      <c r="E112" s="0" t="s">
        <v>270</v>
      </c>
      <c r="F112" s="0" t="s">
        <v>13</v>
      </c>
      <c r="G112" s="0" t="s">
        <v>53</v>
      </c>
    </row>
    <row r="113" customFormat="false" ht="15" hidden="false" customHeight="false" outlineLevel="0" collapsed="false">
      <c r="A113" s="0" t="s">
        <v>271</v>
      </c>
      <c r="B113" s="0" t="s">
        <v>63</v>
      </c>
      <c r="C113" s="0" t="s">
        <v>35</v>
      </c>
      <c r="D113" s="0" t="s">
        <v>26</v>
      </c>
      <c r="E113" s="0" t="s">
        <v>259</v>
      </c>
      <c r="F113" s="0" t="s">
        <v>13</v>
      </c>
      <c r="G113" s="0" t="s">
        <v>53</v>
      </c>
    </row>
    <row r="114" customFormat="false" ht="15" hidden="false" customHeight="false" outlineLevel="0" collapsed="false">
      <c r="A114" s="0" t="s">
        <v>272</v>
      </c>
      <c r="B114" s="0" t="s">
        <v>104</v>
      </c>
      <c r="C114" s="0" t="s">
        <v>35</v>
      </c>
      <c r="D114" s="0" t="s">
        <v>85</v>
      </c>
      <c r="E114" s="0" t="s">
        <v>273</v>
      </c>
      <c r="F114" s="0" t="s">
        <v>28</v>
      </c>
      <c r="G114" s="0" t="s">
        <v>14</v>
      </c>
      <c r="H114" s="0" t="n">
        <v>3</v>
      </c>
    </row>
    <row r="115" customFormat="false" ht="15" hidden="false" customHeight="false" outlineLevel="0" collapsed="false">
      <c r="A115" s="0" t="s">
        <v>274</v>
      </c>
      <c r="B115" s="0" t="s">
        <v>101</v>
      </c>
      <c r="C115" s="0" t="s">
        <v>60</v>
      </c>
      <c r="D115" s="0" t="s">
        <v>10</v>
      </c>
      <c r="E115" s="0" t="s">
        <v>275</v>
      </c>
      <c r="F115" s="0" t="s">
        <v>28</v>
      </c>
      <c r="G115" s="0" t="s">
        <v>14</v>
      </c>
      <c r="H115" s="0" t="n">
        <v>5</v>
      </c>
    </row>
    <row r="116" customFormat="false" ht="15" hidden="false" customHeight="false" outlineLevel="0" collapsed="false">
      <c r="A116" s="0" t="s">
        <v>276</v>
      </c>
      <c r="B116" s="0" t="s">
        <v>9</v>
      </c>
      <c r="C116" s="0" t="s">
        <v>21</v>
      </c>
      <c r="D116" s="0" t="s">
        <v>26</v>
      </c>
      <c r="E116" s="0" t="s">
        <v>154</v>
      </c>
      <c r="F116" s="0" t="s">
        <v>37</v>
      </c>
      <c r="G116" s="0" t="s">
        <v>53</v>
      </c>
    </row>
    <row r="117" customFormat="false" ht="15" hidden="false" customHeight="false" outlineLevel="0" collapsed="false">
      <c r="A117" s="0" t="s">
        <v>277</v>
      </c>
      <c r="B117" s="0" t="s">
        <v>39</v>
      </c>
      <c r="C117" s="0" t="s">
        <v>26</v>
      </c>
      <c r="D117" s="0" t="s">
        <v>10</v>
      </c>
      <c r="E117" s="0" t="s">
        <v>278</v>
      </c>
      <c r="F117" s="0" t="s">
        <v>37</v>
      </c>
      <c r="G117" s="0" t="s">
        <v>14</v>
      </c>
      <c r="H117" s="0" t="n">
        <v>5</v>
      </c>
    </row>
    <row r="118" customFormat="false" ht="15" hidden="false" customHeight="false" outlineLevel="0" collapsed="false">
      <c r="A118" s="0" t="s">
        <v>279</v>
      </c>
      <c r="B118" s="0" t="s">
        <v>43</v>
      </c>
      <c r="C118" s="0" t="s">
        <v>68</v>
      </c>
      <c r="D118" s="0" t="s">
        <v>85</v>
      </c>
      <c r="E118" s="0" t="s">
        <v>280</v>
      </c>
      <c r="F118" s="0" t="s">
        <v>28</v>
      </c>
      <c r="G118" s="0" t="s">
        <v>53</v>
      </c>
    </row>
    <row r="119" customFormat="false" ht="15" hidden="false" customHeight="false" outlineLevel="0" collapsed="false">
      <c r="A119" s="0" t="s">
        <v>281</v>
      </c>
      <c r="B119" s="0" t="s">
        <v>90</v>
      </c>
      <c r="C119" s="0" t="s">
        <v>35</v>
      </c>
      <c r="D119" s="0" t="s">
        <v>11</v>
      </c>
      <c r="E119" s="0" t="s">
        <v>282</v>
      </c>
      <c r="F119" s="0" t="s">
        <v>13</v>
      </c>
      <c r="G119" s="0" t="s">
        <v>14</v>
      </c>
      <c r="H119" s="0" t="n">
        <v>4</v>
      </c>
    </row>
    <row r="120" customFormat="false" ht="15" hidden="false" customHeight="false" outlineLevel="0" collapsed="false">
      <c r="A120" s="0" t="s">
        <v>283</v>
      </c>
      <c r="B120" s="0" t="s">
        <v>88</v>
      </c>
      <c r="C120" s="0" t="s">
        <v>10</v>
      </c>
      <c r="D120" s="0" t="s">
        <v>26</v>
      </c>
      <c r="E120" s="0" t="s">
        <v>284</v>
      </c>
      <c r="F120" s="0" t="s">
        <v>13</v>
      </c>
      <c r="G120" s="0" t="s">
        <v>14</v>
      </c>
      <c r="H120" s="0" t="n">
        <v>3</v>
      </c>
    </row>
    <row r="121" customFormat="false" ht="15" hidden="false" customHeight="false" outlineLevel="0" collapsed="false">
      <c r="A121" s="0" t="s">
        <v>285</v>
      </c>
      <c r="B121" s="0" t="s">
        <v>75</v>
      </c>
      <c r="C121" s="0" t="s">
        <v>68</v>
      </c>
      <c r="D121" s="0" t="s">
        <v>85</v>
      </c>
      <c r="E121" s="0" t="s">
        <v>286</v>
      </c>
      <c r="F121" s="0" t="s">
        <v>28</v>
      </c>
      <c r="G121" s="0" t="s">
        <v>14</v>
      </c>
      <c r="H121" s="0" t="n">
        <v>4</v>
      </c>
    </row>
    <row r="122" customFormat="false" ht="15" hidden="false" customHeight="false" outlineLevel="0" collapsed="false">
      <c r="A122" s="0" t="s">
        <v>47</v>
      </c>
      <c r="B122" s="0" t="s">
        <v>78</v>
      </c>
      <c r="C122" s="0" t="s">
        <v>10</v>
      </c>
      <c r="D122" s="0" t="s">
        <v>11</v>
      </c>
      <c r="E122" s="0" t="s">
        <v>287</v>
      </c>
      <c r="F122" s="0" t="s">
        <v>13</v>
      </c>
      <c r="G122" s="0" t="s">
        <v>14</v>
      </c>
      <c r="H122" s="0" t="n">
        <v>4</v>
      </c>
    </row>
    <row r="123" customFormat="false" ht="15" hidden="false" customHeight="false" outlineLevel="0" collapsed="false">
      <c r="A123" s="0" t="s">
        <v>288</v>
      </c>
      <c r="C123" s="0" t="s">
        <v>35</v>
      </c>
      <c r="D123" s="0" t="s">
        <v>11</v>
      </c>
      <c r="E123" s="0" t="s">
        <v>289</v>
      </c>
      <c r="F123" s="0" t="s">
        <v>28</v>
      </c>
      <c r="G123" s="0" t="s">
        <v>14</v>
      </c>
      <c r="H123" s="0" t="n">
        <v>5</v>
      </c>
    </row>
    <row r="124" customFormat="false" ht="15" hidden="false" customHeight="false" outlineLevel="0" collapsed="false">
      <c r="A124" s="0" t="s">
        <v>290</v>
      </c>
      <c r="B124" s="0" t="s">
        <v>113</v>
      </c>
      <c r="C124" s="0" t="s">
        <v>11</v>
      </c>
      <c r="D124" s="0" t="s">
        <v>22</v>
      </c>
      <c r="E124" s="0" t="s">
        <v>291</v>
      </c>
      <c r="F124" s="0" t="s">
        <v>13</v>
      </c>
      <c r="G124" s="0" t="s">
        <v>14</v>
      </c>
      <c r="H124" s="0" t="n">
        <v>4</v>
      </c>
    </row>
    <row r="125" customFormat="false" ht="15" hidden="false" customHeight="false" outlineLevel="0" collapsed="false">
      <c r="A125" s="0" t="s">
        <v>292</v>
      </c>
      <c r="B125" s="0" t="s">
        <v>63</v>
      </c>
      <c r="D125" s="0" t="s">
        <v>85</v>
      </c>
      <c r="E125" s="0" t="s">
        <v>293</v>
      </c>
      <c r="F125" s="0" t="s">
        <v>37</v>
      </c>
      <c r="G125" s="0" t="s">
        <v>14</v>
      </c>
      <c r="H125" s="0" t="n">
        <v>5</v>
      </c>
    </row>
    <row r="126" customFormat="false" ht="15" hidden="false" customHeight="false" outlineLevel="0" collapsed="false">
      <c r="A126" s="0" t="s">
        <v>294</v>
      </c>
      <c r="B126" s="0" t="s">
        <v>295</v>
      </c>
      <c r="C126" s="0" t="s">
        <v>31</v>
      </c>
      <c r="D126" s="0" t="s">
        <v>11</v>
      </c>
      <c r="E126" s="0" t="s">
        <v>296</v>
      </c>
      <c r="F126" s="0" t="s">
        <v>13</v>
      </c>
      <c r="G126" s="0" t="s">
        <v>14</v>
      </c>
      <c r="H126" s="0" t="n">
        <v>3</v>
      </c>
    </row>
    <row r="127" customFormat="false" ht="15" hidden="false" customHeight="false" outlineLevel="0" collapsed="false">
      <c r="A127" s="0" t="s">
        <v>297</v>
      </c>
      <c r="B127" s="0" t="s">
        <v>34</v>
      </c>
      <c r="C127" s="0" t="s">
        <v>26</v>
      </c>
      <c r="D127" s="0" t="s">
        <v>10</v>
      </c>
      <c r="F127" s="0" t="s">
        <v>28</v>
      </c>
      <c r="G127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298</v>
      </c>
      <c r="C2" s="0" t="s">
        <v>10</v>
      </c>
      <c r="D2" s="0" t="s">
        <v>11</v>
      </c>
      <c r="E2" s="0" t="n">
        <v>713</v>
      </c>
      <c r="F2" s="0" t="s">
        <v>13</v>
      </c>
      <c r="G2" s="0" t="s">
        <v>14</v>
      </c>
      <c r="H2" s="0" t="n">
        <v>5</v>
      </c>
    </row>
    <row r="3" customFormat="false" ht="15" hidden="false" customHeight="false" outlineLevel="0" collapsed="false">
      <c r="A3" s="0" t="s">
        <v>15</v>
      </c>
      <c r="B3" s="0" t="s">
        <v>299</v>
      </c>
      <c r="C3" s="0" t="s">
        <v>10</v>
      </c>
      <c r="D3" s="0" t="s">
        <v>17</v>
      </c>
      <c r="E3" s="0" t="n">
        <v>215</v>
      </c>
      <c r="F3" s="0" t="s">
        <v>13</v>
      </c>
      <c r="G3" s="0" t="s">
        <v>14</v>
      </c>
      <c r="H3" s="0" t="n">
        <v>3</v>
      </c>
    </row>
    <row r="4" customFormat="false" ht="15" hidden="false" customHeight="false" outlineLevel="0" collapsed="false">
      <c r="A4" s="0" t="s">
        <v>19</v>
      </c>
      <c r="B4" s="0" t="s">
        <v>300</v>
      </c>
      <c r="C4" s="0" t="s">
        <v>21</v>
      </c>
      <c r="D4" s="0" t="s">
        <v>22</v>
      </c>
      <c r="E4" s="0" t="n">
        <v>1009</v>
      </c>
      <c r="F4" s="0" t="s">
        <v>13</v>
      </c>
      <c r="G4" s="0" t="s">
        <v>14</v>
      </c>
      <c r="H4" s="0" t="n">
        <v>4</v>
      </c>
    </row>
    <row r="5" customFormat="false" ht="15" hidden="false" customHeight="false" outlineLevel="0" collapsed="false">
      <c r="A5" s="0" t="s">
        <v>24</v>
      </c>
      <c r="B5" s="0" t="s">
        <v>301</v>
      </c>
      <c r="C5" s="0" t="s">
        <v>21</v>
      </c>
      <c r="D5" s="0" t="s">
        <v>26</v>
      </c>
      <c r="E5" s="0" t="n">
        <v>1015</v>
      </c>
      <c r="F5" s="0" t="s">
        <v>28</v>
      </c>
      <c r="G5" s="0" t="s">
        <v>14</v>
      </c>
      <c r="H5" s="0" t="n">
        <v>3</v>
      </c>
    </row>
    <row r="6" customFormat="false" ht="15" hidden="false" customHeight="false" outlineLevel="0" collapsed="false">
      <c r="A6" s="0" t="s">
        <v>29</v>
      </c>
      <c r="B6" s="0" t="s">
        <v>302</v>
      </c>
      <c r="C6" s="0" t="s">
        <v>31</v>
      </c>
      <c r="D6" s="0" t="s">
        <v>10</v>
      </c>
      <c r="E6" s="0" t="n">
        <v>339</v>
      </c>
      <c r="F6" s="0" t="s">
        <v>28</v>
      </c>
      <c r="G6" s="0" t="s">
        <v>14</v>
      </c>
      <c r="H6" s="0" t="n">
        <v>4</v>
      </c>
    </row>
    <row r="7" customFormat="false" ht="15" hidden="false" customHeight="false" outlineLevel="0" collapsed="false">
      <c r="A7" s="0" t="s">
        <v>33</v>
      </c>
      <c r="B7" s="0" t="s">
        <v>303</v>
      </c>
      <c r="C7" s="0" t="s">
        <v>35</v>
      </c>
      <c r="D7" s="0" t="s">
        <v>11</v>
      </c>
      <c r="E7" s="0" t="n">
        <v>1090</v>
      </c>
      <c r="F7" s="0" t="s">
        <v>37</v>
      </c>
      <c r="G7" s="0" t="s">
        <v>14</v>
      </c>
      <c r="H7" s="0" t="n">
        <v>4</v>
      </c>
    </row>
    <row r="8" customFormat="false" ht="15" hidden="false" customHeight="false" outlineLevel="0" collapsed="false">
      <c r="A8" s="0" t="s">
        <v>38</v>
      </c>
      <c r="B8" s="0" t="s">
        <v>304</v>
      </c>
      <c r="C8" s="0" t="s">
        <v>35</v>
      </c>
      <c r="D8" s="0" t="s">
        <v>40</v>
      </c>
      <c r="E8" s="0" t="n">
        <v>543</v>
      </c>
      <c r="F8" s="0" t="s">
        <v>37</v>
      </c>
      <c r="G8" s="0" t="s">
        <v>14</v>
      </c>
      <c r="H8" s="0" t="n">
        <v>5</v>
      </c>
    </row>
    <row r="9" customFormat="false" ht="15" hidden="false" customHeight="false" outlineLevel="0" collapsed="false">
      <c r="A9" s="0" t="s">
        <v>42</v>
      </c>
      <c r="B9" s="0" t="s">
        <v>305</v>
      </c>
      <c r="C9" s="0" t="s">
        <v>35</v>
      </c>
      <c r="D9" s="0" t="s">
        <v>10</v>
      </c>
      <c r="E9" s="0" t="n">
        <v>626</v>
      </c>
      <c r="F9" s="0" t="s">
        <v>13</v>
      </c>
      <c r="G9" s="0" t="s">
        <v>14</v>
      </c>
      <c r="H9" s="0" t="n">
        <v>4</v>
      </c>
    </row>
    <row r="10" customFormat="false" ht="15" hidden="false" customHeight="false" outlineLevel="0" collapsed="false">
      <c r="A10" s="0" t="s">
        <v>45</v>
      </c>
      <c r="B10" s="0" t="s">
        <v>298</v>
      </c>
      <c r="C10" s="0" t="s">
        <v>31</v>
      </c>
      <c r="D10" s="0" t="s">
        <v>26</v>
      </c>
      <c r="E10" s="0" t="n">
        <v>908</v>
      </c>
      <c r="F10" s="0" t="s">
        <v>28</v>
      </c>
      <c r="G10" s="0" t="s">
        <v>14</v>
      </c>
      <c r="H10" s="0" t="n">
        <v>4</v>
      </c>
    </row>
    <row r="11" customFormat="false" ht="15" hidden="false" customHeight="false" outlineLevel="0" collapsed="false">
      <c r="A11" s="0" t="s">
        <v>47</v>
      </c>
      <c r="B11" s="0" t="s">
        <v>306</v>
      </c>
      <c r="C11" s="0" t="s">
        <v>10</v>
      </c>
      <c r="D11" s="0" t="s">
        <v>26</v>
      </c>
      <c r="E11" s="0" t="n">
        <v>651</v>
      </c>
      <c r="F11" s="0" t="s">
        <v>13</v>
      </c>
      <c r="G11" s="0" t="s">
        <v>14</v>
      </c>
      <c r="H11" s="0" t="n">
        <v>4</v>
      </c>
    </row>
    <row r="12" customFormat="false" ht="15" hidden="false" customHeight="false" outlineLevel="0" collapsed="false">
      <c r="A12" s="0" t="s">
        <v>50</v>
      </c>
      <c r="B12" s="0" t="s">
        <v>307</v>
      </c>
      <c r="C12" s="0" t="s">
        <v>26</v>
      </c>
      <c r="D12" s="0" t="s">
        <v>40</v>
      </c>
      <c r="E12" s="0" t="n">
        <v>264</v>
      </c>
      <c r="F12" s="0" t="s">
        <v>13</v>
      </c>
      <c r="G12" s="0" t="s">
        <v>53</v>
      </c>
    </row>
    <row r="13" customFormat="false" ht="15" hidden="false" customHeight="false" outlineLevel="0" collapsed="false">
      <c r="A13" s="0" t="s">
        <v>54</v>
      </c>
      <c r="B13" s="0" t="s">
        <v>301</v>
      </c>
      <c r="C13" s="0" t="s">
        <v>31</v>
      </c>
      <c r="D13" s="0" t="s">
        <v>17</v>
      </c>
      <c r="E13" s="0" t="n">
        <v>698</v>
      </c>
      <c r="F13" s="0" t="s">
        <v>13</v>
      </c>
      <c r="G13" s="0" t="s">
        <v>14</v>
      </c>
      <c r="H13" s="0" t="n">
        <v>5</v>
      </c>
    </row>
    <row r="14" customFormat="false" ht="15" hidden="false" customHeight="false" outlineLevel="0" collapsed="false">
      <c r="A14" s="0" t="s">
        <v>56</v>
      </c>
      <c r="B14" s="0" t="s">
        <v>308</v>
      </c>
      <c r="C14" s="0" t="s">
        <v>31</v>
      </c>
      <c r="D14" s="0" t="s">
        <v>22</v>
      </c>
      <c r="E14" s="0" t="n">
        <v>1172</v>
      </c>
      <c r="F14" s="0" t="s">
        <v>28</v>
      </c>
      <c r="G14" s="0" t="s">
        <v>53</v>
      </c>
    </row>
    <row r="15" customFormat="false" ht="15" hidden="false" customHeight="false" outlineLevel="0" collapsed="false">
      <c r="A15" s="0" t="s">
        <v>59</v>
      </c>
      <c r="B15" s="0" t="s">
        <v>298</v>
      </c>
      <c r="C15" s="0" t="s">
        <v>60</v>
      </c>
      <c r="D15" s="0" t="s">
        <v>26</v>
      </c>
      <c r="E15" s="0" t="n">
        <v>692</v>
      </c>
      <c r="F15" s="0" t="s">
        <v>13</v>
      </c>
      <c r="G15" s="0" t="s">
        <v>14</v>
      </c>
      <c r="H15" s="0" t="n">
        <v>5</v>
      </c>
    </row>
    <row r="16" customFormat="false" ht="15" hidden="false" customHeight="false" outlineLevel="0" collapsed="false">
      <c r="A16" s="0" t="s">
        <v>62</v>
      </c>
      <c r="B16" s="0" t="s">
        <v>309</v>
      </c>
      <c r="C16" s="0" t="s">
        <v>35</v>
      </c>
      <c r="D16" s="0" t="s">
        <v>17</v>
      </c>
      <c r="E16" s="0" t="n">
        <v>967</v>
      </c>
      <c r="F16" s="0" t="s">
        <v>28</v>
      </c>
      <c r="G16" s="0" t="s">
        <v>14</v>
      </c>
      <c r="H16" s="0" t="n">
        <v>3</v>
      </c>
    </row>
    <row r="17" customFormat="false" ht="15" hidden="false" customHeight="false" outlineLevel="0" collapsed="false">
      <c r="A17" s="0" t="s">
        <v>65</v>
      </c>
      <c r="B17" s="0" t="s">
        <v>300</v>
      </c>
      <c r="C17" s="0" t="s">
        <v>60</v>
      </c>
      <c r="D17" s="0" t="s">
        <v>10</v>
      </c>
      <c r="E17" s="0" t="n">
        <v>246</v>
      </c>
      <c r="F17" s="0" t="s">
        <v>13</v>
      </c>
      <c r="G17" s="0" t="s">
        <v>14</v>
      </c>
      <c r="H17" s="0" t="n">
        <v>3</v>
      </c>
    </row>
    <row r="18" customFormat="false" ht="15" hidden="false" customHeight="false" outlineLevel="0" collapsed="false">
      <c r="A18" s="0" t="s">
        <v>67</v>
      </c>
      <c r="B18" s="0" t="s">
        <v>301</v>
      </c>
      <c r="C18" s="0" t="s">
        <v>68</v>
      </c>
      <c r="D18" s="0" t="s">
        <v>10</v>
      </c>
      <c r="E18" s="0" t="n">
        <v>938</v>
      </c>
      <c r="F18" s="0" t="s">
        <v>28</v>
      </c>
      <c r="G18" s="0" t="s">
        <v>14</v>
      </c>
      <c r="H18" s="0" t="n">
        <v>4</v>
      </c>
    </row>
    <row r="19" customFormat="false" ht="15" hidden="false" customHeight="false" outlineLevel="0" collapsed="false">
      <c r="A19" s="0" t="s">
        <v>70</v>
      </c>
      <c r="B19" s="0" t="s">
        <v>300</v>
      </c>
      <c r="C19" s="0" t="s">
        <v>35</v>
      </c>
      <c r="D19" s="0" t="s">
        <v>11</v>
      </c>
      <c r="E19" s="0" t="n">
        <v>384</v>
      </c>
      <c r="F19" s="0" t="s">
        <v>37</v>
      </c>
      <c r="G19" s="0" t="s">
        <v>53</v>
      </c>
    </row>
    <row r="20" customFormat="false" ht="15" hidden="false" customHeight="false" outlineLevel="0" collapsed="false">
      <c r="A20" s="0" t="s">
        <v>72</v>
      </c>
      <c r="B20" s="0" t="s">
        <v>302</v>
      </c>
      <c r="C20" s="0" t="s">
        <v>35</v>
      </c>
      <c r="D20" s="0" t="s">
        <v>40</v>
      </c>
      <c r="E20" s="0" t="n">
        <v>378</v>
      </c>
      <c r="F20" s="0" t="s">
        <v>28</v>
      </c>
      <c r="G20" s="0" t="s">
        <v>14</v>
      </c>
      <c r="H20" s="0" t="n">
        <v>4</v>
      </c>
    </row>
    <row r="21" customFormat="false" ht="15" hidden="false" customHeight="false" outlineLevel="0" collapsed="false">
      <c r="A21" s="0" t="s">
        <v>74</v>
      </c>
      <c r="B21" s="0" t="s">
        <v>310</v>
      </c>
      <c r="C21" s="0" t="s">
        <v>35</v>
      </c>
      <c r="D21" s="0" t="s">
        <v>26</v>
      </c>
      <c r="E21" s="0" t="n">
        <v>1189</v>
      </c>
      <c r="F21" s="0" t="s">
        <v>13</v>
      </c>
      <c r="G21" s="0" t="s">
        <v>53</v>
      </c>
    </row>
    <row r="22" customFormat="false" ht="15" hidden="false" customHeight="false" outlineLevel="0" collapsed="false">
      <c r="A22" s="0" t="s">
        <v>77</v>
      </c>
      <c r="B22" s="0" t="s">
        <v>311</v>
      </c>
      <c r="C22" s="0" t="s">
        <v>26</v>
      </c>
      <c r="D22" s="0" t="s">
        <v>26</v>
      </c>
      <c r="E22" s="0" t="n">
        <v>915</v>
      </c>
      <c r="F22" s="0" t="s">
        <v>13</v>
      </c>
      <c r="G22" s="0" t="s">
        <v>14</v>
      </c>
      <c r="H22" s="0" t="n">
        <v>5</v>
      </c>
    </row>
    <row r="23" customFormat="false" ht="15" hidden="false" customHeight="false" outlineLevel="0" collapsed="false">
      <c r="A23" s="0" t="s">
        <v>80</v>
      </c>
      <c r="B23" s="0" t="s">
        <v>307</v>
      </c>
      <c r="C23" s="0" t="s">
        <v>21</v>
      </c>
      <c r="D23" s="0" t="s">
        <v>40</v>
      </c>
      <c r="E23" s="0" t="n">
        <v>1150</v>
      </c>
      <c r="F23" s="0" t="s">
        <v>13</v>
      </c>
      <c r="G23" s="0" t="s">
        <v>14</v>
      </c>
      <c r="H23" s="0" t="n">
        <v>4</v>
      </c>
    </row>
    <row r="24" customFormat="false" ht="15" hidden="false" customHeight="false" outlineLevel="0" collapsed="false">
      <c r="A24" s="0" t="s">
        <v>82</v>
      </c>
      <c r="B24" s="0" t="s">
        <v>308</v>
      </c>
      <c r="C24" s="0" t="s">
        <v>35</v>
      </c>
      <c r="D24" s="0" t="s">
        <v>22</v>
      </c>
      <c r="E24" s="0" t="n">
        <v>268</v>
      </c>
      <c r="F24" s="0" t="s">
        <v>13</v>
      </c>
      <c r="G24" s="0" t="s">
        <v>53</v>
      </c>
    </row>
    <row r="25" customFormat="false" ht="15" hidden="false" customHeight="false" outlineLevel="0" collapsed="false">
      <c r="A25" s="0" t="s">
        <v>84</v>
      </c>
      <c r="B25" s="0" t="s">
        <v>304</v>
      </c>
      <c r="C25" s="0" t="s">
        <v>10</v>
      </c>
      <c r="D25" s="0" t="s">
        <v>85</v>
      </c>
      <c r="E25" s="0" t="n">
        <v>291</v>
      </c>
      <c r="F25" s="0" t="s">
        <v>37</v>
      </c>
      <c r="G25" s="0" t="s">
        <v>14</v>
      </c>
      <c r="H25" s="0" t="n">
        <v>3</v>
      </c>
    </row>
    <row r="26" customFormat="false" ht="15" hidden="false" customHeight="false" outlineLevel="0" collapsed="false">
      <c r="A26" s="0" t="s">
        <v>87</v>
      </c>
      <c r="B26" s="0" t="s">
        <v>312</v>
      </c>
      <c r="C26" s="0" t="s">
        <v>60</v>
      </c>
      <c r="D26" s="0" t="s">
        <v>26</v>
      </c>
      <c r="E26" s="0" t="n">
        <v>692</v>
      </c>
      <c r="F26" s="0" t="s">
        <v>37</v>
      </c>
      <c r="G26" s="0" t="s">
        <v>53</v>
      </c>
    </row>
    <row r="27" customFormat="false" ht="15" hidden="false" customHeight="false" outlineLevel="0" collapsed="false">
      <c r="A27" s="0" t="s">
        <v>89</v>
      </c>
      <c r="B27" s="0" t="s">
        <v>313</v>
      </c>
      <c r="C27" s="0" t="s">
        <v>26</v>
      </c>
      <c r="D27" s="0" t="s">
        <v>22</v>
      </c>
      <c r="E27" s="0" t="n">
        <v>788</v>
      </c>
      <c r="F27" s="0" t="s">
        <v>28</v>
      </c>
      <c r="G27" s="0" t="s">
        <v>53</v>
      </c>
    </row>
    <row r="28" customFormat="false" ht="15" hidden="false" customHeight="false" outlineLevel="0" collapsed="false">
      <c r="A28" s="0" t="s">
        <v>92</v>
      </c>
      <c r="B28" s="0" t="s">
        <v>298</v>
      </c>
      <c r="C28" s="0" t="s">
        <v>31</v>
      </c>
      <c r="D28" s="0" t="s">
        <v>85</v>
      </c>
      <c r="E28" s="0" t="n">
        <v>1074</v>
      </c>
      <c r="F28" s="0" t="s">
        <v>13</v>
      </c>
      <c r="G28" s="0" t="s">
        <v>14</v>
      </c>
      <c r="H28" s="0" t="n">
        <v>3</v>
      </c>
    </row>
    <row r="29" customFormat="false" ht="15" hidden="false" customHeight="false" outlineLevel="0" collapsed="false">
      <c r="A29" s="0" t="s">
        <v>94</v>
      </c>
      <c r="B29" s="0" t="s">
        <v>314</v>
      </c>
      <c r="C29" s="0" t="s">
        <v>21</v>
      </c>
      <c r="D29" s="0" t="s">
        <v>22</v>
      </c>
      <c r="E29" s="0" t="n">
        <v>601</v>
      </c>
      <c r="F29" s="0" t="s">
        <v>13</v>
      </c>
      <c r="G29" s="0" t="s">
        <v>14</v>
      </c>
      <c r="H29" s="0" t="n">
        <v>5</v>
      </c>
    </row>
    <row r="30" customFormat="false" ht="15" hidden="false" customHeight="false" outlineLevel="0" collapsed="false">
      <c r="A30" s="0" t="s">
        <v>97</v>
      </c>
      <c r="B30" s="0" t="s">
        <v>315</v>
      </c>
      <c r="C30" s="0" t="s">
        <v>26</v>
      </c>
      <c r="D30" s="0" t="s">
        <v>10</v>
      </c>
      <c r="E30" s="0" t="n">
        <v>214</v>
      </c>
      <c r="F30" s="0" t="s">
        <v>28</v>
      </c>
      <c r="G30" s="0" t="s">
        <v>14</v>
      </c>
      <c r="H30" s="0" t="n">
        <v>3</v>
      </c>
    </row>
    <row r="31" customFormat="false" ht="15" hidden="false" customHeight="false" outlineLevel="0" collapsed="false">
      <c r="A31" s="0" t="s">
        <v>100</v>
      </c>
      <c r="B31" s="0" t="s">
        <v>316</v>
      </c>
      <c r="C31" s="0" t="s">
        <v>60</v>
      </c>
      <c r="D31" s="0" t="s">
        <v>22</v>
      </c>
      <c r="E31" s="0" t="n">
        <v>420</v>
      </c>
      <c r="F31" s="0" t="s">
        <v>37</v>
      </c>
      <c r="G31" s="0" t="s">
        <v>53</v>
      </c>
    </row>
    <row r="32" customFormat="false" ht="15" hidden="false" customHeight="false" outlineLevel="0" collapsed="false">
      <c r="A32" s="0" t="s">
        <v>103</v>
      </c>
      <c r="B32" s="0" t="s">
        <v>317</v>
      </c>
      <c r="C32" s="0" t="s">
        <v>60</v>
      </c>
      <c r="D32" s="0" t="s">
        <v>22</v>
      </c>
      <c r="E32" s="0" t="n">
        <v>1118</v>
      </c>
      <c r="F32" s="0" t="s">
        <v>28</v>
      </c>
      <c r="G32" s="0" t="s">
        <v>14</v>
      </c>
      <c r="H32" s="0" t="n">
        <v>3</v>
      </c>
    </row>
    <row r="33" customFormat="false" ht="15" hidden="false" customHeight="false" outlineLevel="0" collapsed="false">
      <c r="A33" s="0" t="s">
        <v>106</v>
      </c>
      <c r="B33" s="0" t="s">
        <v>312</v>
      </c>
      <c r="C33" s="0" t="s">
        <v>68</v>
      </c>
      <c r="D33" s="0" t="s">
        <v>40</v>
      </c>
      <c r="E33" s="0" t="n">
        <v>1017</v>
      </c>
      <c r="F33" s="0" t="s">
        <v>28</v>
      </c>
      <c r="G33" s="0" t="s">
        <v>14</v>
      </c>
      <c r="H33" s="0" t="n">
        <v>5</v>
      </c>
    </row>
    <row r="34" customFormat="false" ht="15" hidden="false" customHeight="false" outlineLevel="0" collapsed="false">
      <c r="A34" s="0" t="s">
        <v>108</v>
      </c>
      <c r="B34" s="0" t="s">
        <v>315</v>
      </c>
      <c r="C34" s="0" t="s">
        <v>10</v>
      </c>
      <c r="D34" s="0" t="s">
        <v>11</v>
      </c>
      <c r="E34" s="0" t="n">
        <v>974</v>
      </c>
      <c r="F34" s="0" t="s">
        <v>37</v>
      </c>
      <c r="G34" s="0" t="s">
        <v>14</v>
      </c>
      <c r="H34" s="0" t="n">
        <v>3</v>
      </c>
    </row>
    <row r="35" customFormat="false" ht="15" hidden="false" customHeight="false" outlineLevel="0" collapsed="false">
      <c r="A35" s="0" t="s">
        <v>110</v>
      </c>
      <c r="B35" s="0" t="s">
        <v>305</v>
      </c>
      <c r="C35" s="0" t="s">
        <v>26</v>
      </c>
      <c r="D35" s="0" t="s">
        <v>22</v>
      </c>
      <c r="E35" s="0" t="n">
        <v>1068</v>
      </c>
      <c r="F35" s="0" t="s">
        <v>13</v>
      </c>
      <c r="G35" s="0" t="s">
        <v>14</v>
      </c>
      <c r="H35" s="0" t="n">
        <v>4</v>
      </c>
    </row>
    <row r="36" customFormat="false" ht="15" hidden="false" customHeight="false" outlineLevel="0" collapsed="false">
      <c r="A36" s="0" t="s">
        <v>112</v>
      </c>
      <c r="B36" s="0" t="s">
        <v>318</v>
      </c>
      <c r="C36" s="0" t="s">
        <v>26</v>
      </c>
      <c r="D36" s="0" t="s">
        <v>10</v>
      </c>
      <c r="E36" s="0" t="n">
        <v>1057</v>
      </c>
      <c r="F36" s="0" t="s">
        <v>37</v>
      </c>
      <c r="G36" s="0" t="s">
        <v>14</v>
      </c>
      <c r="H36" s="0" t="n">
        <v>5</v>
      </c>
    </row>
    <row r="37" customFormat="false" ht="15" hidden="false" customHeight="false" outlineLevel="0" collapsed="false">
      <c r="A37" s="0" t="s">
        <v>115</v>
      </c>
      <c r="B37" s="0" t="s">
        <v>309</v>
      </c>
      <c r="C37" s="0" t="s">
        <v>21</v>
      </c>
      <c r="D37" s="0" t="s">
        <v>10</v>
      </c>
      <c r="E37" s="0" t="n">
        <v>634</v>
      </c>
      <c r="F37" s="0" t="s">
        <v>13</v>
      </c>
      <c r="G37" s="0" t="s">
        <v>14</v>
      </c>
      <c r="H37" s="0" t="n">
        <v>4</v>
      </c>
    </row>
    <row r="38" customFormat="false" ht="15" hidden="false" customHeight="false" outlineLevel="0" collapsed="false">
      <c r="A38" s="0" t="s">
        <v>117</v>
      </c>
      <c r="B38" s="0" t="s">
        <v>319</v>
      </c>
      <c r="C38" s="0" t="s">
        <v>68</v>
      </c>
      <c r="D38" s="0" t="s">
        <v>11</v>
      </c>
      <c r="E38" s="0" t="n">
        <v>487</v>
      </c>
      <c r="F38" s="0" t="s">
        <v>28</v>
      </c>
      <c r="G38" s="0" t="s">
        <v>14</v>
      </c>
      <c r="H38" s="0" t="n">
        <v>4</v>
      </c>
    </row>
    <row r="39" customFormat="false" ht="15" hidden="false" customHeight="false" outlineLevel="0" collapsed="false">
      <c r="A39" s="0" t="s">
        <v>120</v>
      </c>
      <c r="B39" s="0" t="s">
        <v>316</v>
      </c>
      <c r="C39" s="0" t="s">
        <v>60</v>
      </c>
      <c r="D39" s="0" t="s">
        <v>121</v>
      </c>
      <c r="E39" s="0" t="n">
        <v>1016</v>
      </c>
      <c r="F39" s="0" t="s">
        <v>37</v>
      </c>
      <c r="G39" s="0" t="s">
        <v>53</v>
      </c>
    </row>
    <row r="40" customFormat="false" ht="15" hidden="false" customHeight="false" outlineLevel="0" collapsed="false">
      <c r="A40" s="0" t="s">
        <v>123</v>
      </c>
      <c r="B40" s="0" t="s">
        <v>301</v>
      </c>
      <c r="C40" s="0" t="s">
        <v>60</v>
      </c>
      <c r="D40" s="0" t="s">
        <v>26</v>
      </c>
      <c r="E40" s="0" t="n">
        <v>538</v>
      </c>
      <c r="F40" s="0" t="s">
        <v>28</v>
      </c>
      <c r="G40" s="0" t="s">
        <v>14</v>
      </c>
      <c r="H40" s="0" t="n">
        <v>3</v>
      </c>
    </row>
    <row r="41" customFormat="false" ht="15" hidden="false" customHeight="false" outlineLevel="0" collapsed="false">
      <c r="A41" s="0" t="s">
        <v>125</v>
      </c>
      <c r="B41" s="0" t="s">
        <v>317</v>
      </c>
      <c r="C41" s="0" t="s">
        <v>21</v>
      </c>
      <c r="D41" s="0" t="s">
        <v>40</v>
      </c>
      <c r="E41" s="0" t="n">
        <v>267</v>
      </c>
      <c r="F41" s="0" t="s">
        <v>13</v>
      </c>
      <c r="G41" s="0" t="s">
        <v>14</v>
      </c>
      <c r="H41" s="0" t="n">
        <v>5</v>
      </c>
    </row>
    <row r="42" customFormat="false" ht="15" hidden="false" customHeight="false" outlineLevel="0" collapsed="false">
      <c r="A42" s="0" t="s">
        <v>127</v>
      </c>
      <c r="B42" s="0" t="s">
        <v>307</v>
      </c>
      <c r="C42" s="0" t="s">
        <v>11</v>
      </c>
      <c r="D42" s="0" t="s">
        <v>11</v>
      </c>
      <c r="E42" s="0" t="n">
        <v>1190</v>
      </c>
      <c r="F42" s="0" t="s">
        <v>13</v>
      </c>
      <c r="G42" s="0" t="s">
        <v>53</v>
      </c>
    </row>
    <row r="43" customFormat="false" ht="15" hidden="false" customHeight="false" outlineLevel="0" collapsed="false">
      <c r="A43" s="0" t="s">
        <v>129</v>
      </c>
      <c r="B43" s="0" t="s">
        <v>304</v>
      </c>
      <c r="C43" s="0" t="s">
        <v>10</v>
      </c>
      <c r="D43" s="0" t="s">
        <v>22</v>
      </c>
      <c r="E43" s="0" t="n">
        <v>976</v>
      </c>
      <c r="F43" s="0" t="s">
        <v>13</v>
      </c>
      <c r="G43" s="0" t="s">
        <v>53</v>
      </c>
    </row>
    <row r="44" customFormat="false" ht="15" hidden="false" customHeight="false" outlineLevel="0" collapsed="false">
      <c r="A44" s="0" t="s">
        <v>131</v>
      </c>
      <c r="B44" s="0" t="s">
        <v>317</v>
      </c>
      <c r="C44" s="0" t="s">
        <v>26</v>
      </c>
      <c r="D44" s="0" t="s">
        <v>11</v>
      </c>
      <c r="E44" s="0" t="n">
        <v>317</v>
      </c>
      <c r="F44" s="0" t="s">
        <v>28</v>
      </c>
      <c r="G44" s="0" t="s">
        <v>14</v>
      </c>
      <c r="H44" s="0" t="n">
        <v>5</v>
      </c>
    </row>
    <row r="45" customFormat="false" ht="15" hidden="false" customHeight="false" outlineLevel="0" collapsed="false">
      <c r="A45" s="0" t="s">
        <v>133</v>
      </c>
      <c r="B45" s="0" t="s">
        <v>300</v>
      </c>
      <c r="C45" s="0" t="s">
        <v>31</v>
      </c>
      <c r="D45" s="0" t="s">
        <v>121</v>
      </c>
      <c r="E45" s="0" t="n">
        <v>568</v>
      </c>
      <c r="F45" s="0" t="s">
        <v>37</v>
      </c>
      <c r="G45" s="0" t="s">
        <v>14</v>
      </c>
      <c r="H45" s="0" t="n">
        <v>3</v>
      </c>
    </row>
    <row r="46" customFormat="false" ht="15" hidden="false" customHeight="false" outlineLevel="0" collapsed="false">
      <c r="A46" s="0" t="s">
        <v>135</v>
      </c>
      <c r="B46" s="0" t="s">
        <v>316</v>
      </c>
      <c r="C46" s="0" t="s">
        <v>68</v>
      </c>
      <c r="D46" s="0" t="s">
        <v>26</v>
      </c>
      <c r="E46" s="0" t="n">
        <v>764</v>
      </c>
      <c r="F46" s="0" t="s">
        <v>28</v>
      </c>
      <c r="G46" s="0" t="s">
        <v>14</v>
      </c>
      <c r="H46" s="0" t="n">
        <v>3</v>
      </c>
    </row>
    <row r="47" customFormat="false" ht="15" hidden="false" customHeight="false" outlineLevel="0" collapsed="false">
      <c r="A47" s="0" t="s">
        <v>137</v>
      </c>
      <c r="B47" s="0" t="s">
        <v>310</v>
      </c>
      <c r="C47" s="0" t="s">
        <v>60</v>
      </c>
      <c r="D47" s="0" t="s">
        <v>10</v>
      </c>
      <c r="E47" s="0" t="n">
        <v>300</v>
      </c>
      <c r="F47" s="0" t="s">
        <v>37</v>
      </c>
      <c r="G47" s="0" t="s">
        <v>14</v>
      </c>
      <c r="H47" s="0" t="n">
        <v>4</v>
      </c>
    </row>
    <row r="48" customFormat="false" ht="15" hidden="false" customHeight="false" outlineLevel="0" collapsed="false">
      <c r="A48" s="0" t="s">
        <v>139</v>
      </c>
      <c r="B48" s="0" t="s">
        <v>320</v>
      </c>
      <c r="C48" s="0" t="s">
        <v>31</v>
      </c>
      <c r="D48" s="0" t="s">
        <v>10</v>
      </c>
      <c r="E48" s="0" t="n">
        <v>650</v>
      </c>
      <c r="F48" s="0" t="s">
        <v>28</v>
      </c>
      <c r="G48" s="0" t="s">
        <v>14</v>
      </c>
      <c r="H48" s="0" t="n">
        <v>4</v>
      </c>
    </row>
    <row r="49" customFormat="false" ht="15" hidden="false" customHeight="false" outlineLevel="0" collapsed="false">
      <c r="A49" s="0" t="s">
        <v>142</v>
      </c>
      <c r="B49" s="0" t="s">
        <v>321</v>
      </c>
      <c r="C49" s="0" t="s">
        <v>35</v>
      </c>
      <c r="D49" s="0" t="s">
        <v>11</v>
      </c>
      <c r="E49" s="0" t="n">
        <v>763</v>
      </c>
      <c r="F49" s="0" t="s">
        <v>37</v>
      </c>
      <c r="G49" s="0" t="s">
        <v>14</v>
      </c>
      <c r="H49" s="0" t="n">
        <v>3</v>
      </c>
    </row>
    <row r="50" customFormat="false" ht="15" hidden="false" customHeight="false" outlineLevel="0" collapsed="false">
      <c r="A50" s="0" t="s">
        <v>145</v>
      </c>
      <c r="B50" s="0" t="s">
        <v>316</v>
      </c>
      <c r="C50" s="0" t="s">
        <v>10</v>
      </c>
      <c r="D50" s="0" t="s">
        <v>10</v>
      </c>
      <c r="E50" s="0" t="n">
        <v>468</v>
      </c>
      <c r="F50" s="0" t="s">
        <v>28</v>
      </c>
      <c r="G50" s="0" t="s">
        <v>14</v>
      </c>
      <c r="H50" s="0" t="n">
        <v>3</v>
      </c>
    </row>
    <row r="51" customFormat="false" ht="15" hidden="false" customHeight="false" outlineLevel="0" collapsed="false">
      <c r="A51" s="0" t="s">
        <v>147</v>
      </c>
      <c r="B51" s="0" t="s">
        <v>306</v>
      </c>
      <c r="C51" s="0" t="s">
        <v>31</v>
      </c>
      <c r="D51" s="0" t="s">
        <v>22</v>
      </c>
      <c r="E51" s="0" t="n">
        <v>690</v>
      </c>
      <c r="F51" s="0" t="s">
        <v>37</v>
      </c>
      <c r="G51" s="0" t="s">
        <v>14</v>
      </c>
      <c r="H51" s="0" t="n">
        <v>3</v>
      </c>
    </row>
    <row r="52" customFormat="false" ht="15" hidden="false" customHeight="false" outlineLevel="0" collapsed="false">
      <c r="A52" s="0" t="s">
        <v>149</v>
      </c>
      <c r="B52" s="0" t="s">
        <v>304</v>
      </c>
      <c r="C52" s="0" t="s">
        <v>68</v>
      </c>
      <c r="D52" s="0" t="s">
        <v>121</v>
      </c>
      <c r="E52" s="0" t="n">
        <v>240</v>
      </c>
      <c r="F52" s="0" t="s">
        <v>13</v>
      </c>
      <c r="G52" s="0" t="s">
        <v>14</v>
      </c>
      <c r="H52" s="0" t="n">
        <v>3</v>
      </c>
    </row>
    <row r="53" customFormat="false" ht="15" hidden="false" customHeight="false" outlineLevel="0" collapsed="false">
      <c r="A53" s="0" t="s">
        <v>151</v>
      </c>
      <c r="B53" s="0" t="s">
        <v>298</v>
      </c>
      <c r="C53" s="0" t="s">
        <v>35</v>
      </c>
      <c r="D53" s="0" t="s">
        <v>26</v>
      </c>
      <c r="E53" s="0" t="n">
        <v>1054</v>
      </c>
      <c r="F53" s="0" t="s">
        <v>37</v>
      </c>
      <c r="G53" s="0" t="s">
        <v>14</v>
      </c>
      <c r="H53" s="0" t="n">
        <v>5</v>
      </c>
    </row>
    <row r="54" customFormat="false" ht="15" hidden="false" customHeight="false" outlineLevel="0" collapsed="false">
      <c r="A54" s="0" t="s">
        <v>153</v>
      </c>
      <c r="B54" s="0" t="s">
        <v>310</v>
      </c>
      <c r="C54" s="0" t="s">
        <v>10</v>
      </c>
      <c r="D54" s="0" t="s">
        <v>10</v>
      </c>
      <c r="E54" s="0" t="n">
        <v>455</v>
      </c>
      <c r="F54" s="0" t="s">
        <v>37</v>
      </c>
      <c r="G54" s="0" t="s">
        <v>14</v>
      </c>
      <c r="H54" s="0" t="n">
        <v>4</v>
      </c>
    </row>
    <row r="55" customFormat="false" ht="15" hidden="false" customHeight="false" outlineLevel="0" collapsed="false">
      <c r="A55" s="0" t="s">
        <v>155</v>
      </c>
      <c r="B55" s="0" t="s">
        <v>317</v>
      </c>
      <c r="C55" s="0" t="s">
        <v>11</v>
      </c>
      <c r="D55" s="0" t="s">
        <v>17</v>
      </c>
      <c r="E55" s="0" t="n">
        <v>411</v>
      </c>
      <c r="F55" s="0" t="s">
        <v>13</v>
      </c>
      <c r="G55" s="0" t="s">
        <v>14</v>
      </c>
      <c r="H55" s="0" t="n">
        <v>3</v>
      </c>
    </row>
    <row r="56" customFormat="false" ht="15" hidden="false" customHeight="false" outlineLevel="0" collapsed="false">
      <c r="A56" s="0" t="s">
        <v>157</v>
      </c>
      <c r="B56" s="0" t="s">
        <v>308</v>
      </c>
      <c r="C56" s="0" t="s">
        <v>31</v>
      </c>
      <c r="D56" s="0" t="s">
        <v>22</v>
      </c>
      <c r="E56" s="0" t="n">
        <v>661</v>
      </c>
      <c r="F56" s="0" t="s">
        <v>37</v>
      </c>
      <c r="G56" s="0" t="s">
        <v>14</v>
      </c>
      <c r="H56" s="0" t="n">
        <v>5</v>
      </c>
    </row>
    <row r="57" customFormat="false" ht="15" hidden="false" customHeight="false" outlineLevel="0" collapsed="false">
      <c r="A57" s="0" t="s">
        <v>159</v>
      </c>
      <c r="B57" s="0" t="s">
        <v>308</v>
      </c>
      <c r="C57" s="0" t="s">
        <v>68</v>
      </c>
      <c r="D57" s="0" t="s">
        <v>26</v>
      </c>
      <c r="E57" s="0" t="n">
        <v>634</v>
      </c>
      <c r="F57" s="0" t="s">
        <v>13</v>
      </c>
      <c r="G57" s="0" t="s">
        <v>53</v>
      </c>
    </row>
    <row r="58" customFormat="false" ht="15" hidden="false" customHeight="false" outlineLevel="0" collapsed="false">
      <c r="A58" s="0" t="s">
        <v>160</v>
      </c>
      <c r="B58" s="0" t="s">
        <v>301</v>
      </c>
      <c r="C58" s="0" t="s">
        <v>11</v>
      </c>
      <c r="D58" s="0" t="s">
        <v>17</v>
      </c>
      <c r="E58" s="0" t="n">
        <v>200</v>
      </c>
      <c r="F58" s="0" t="s">
        <v>13</v>
      </c>
      <c r="G58" s="0" t="s">
        <v>14</v>
      </c>
      <c r="H58" s="0" t="n">
        <v>4</v>
      </c>
    </row>
    <row r="59" customFormat="false" ht="15" hidden="false" customHeight="false" outlineLevel="0" collapsed="false">
      <c r="A59" s="0" t="s">
        <v>162</v>
      </c>
      <c r="B59" s="0" t="s">
        <v>301</v>
      </c>
      <c r="C59" s="0" t="s">
        <v>68</v>
      </c>
      <c r="D59" s="0" t="s">
        <v>22</v>
      </c>
      <c r="E59" s="0" t="n">
        <v>696</v>
      </c>
      <c r="F59" s="0" t="s">
        <v>13</v>
      </c>
      <c r="G59" s="0" t="s">
        <v>14</v>
      </c>
      <c r="H59" s="0" t="n">
        <v>3</v>
      </c>
    </row>
    <row r="60" customFormat="false" ht="15" hidden="false" customHeight="false" outlineLevel="0" collapsed="false">
      <c r="A60" s="0" t="s">
        <v>164</v>
      </c>
      <c r="B60" s="0" t="s">
        <v>322</v>
      </c>
      <c r="C60" s="0" t="s">
        <v>21</v>
      </c>
      <c r="D60" s="0" t="s">
        <v>85</v>
      </c>
      <c r="E60" s="0" t="n">
        <v>605</v>
      </c>
      <c r="F60" s="0" t="s">
        <v>13</v>
      </c>
      <c r="G60" s="0" t="s">
        <v>14</v>
      </c>
      <c r="H60" s="0" t="n">
        <v>4</v>
      </c>
    </row>
    <row r="61" customFormat="false" ht="15" hidden="false" customHeight="false" outlineLevel="0" collapsed="false">
      <c r="A61" s="0" t="s">
        <v>167</v>
      </c>
      <c r="B61" s="0" t="s">
        <v>323</v>
      </c>
      <c r="C61" s="0" t="s">
        <v>35</v>
      </c>
      <c r="D61" s="0" t="s">
        <v>22</v>
      </c>
      <c r="E61" s="0" t="n">
        <v>606</v>
      </c>
      <c r="F61" s="0" t="s">
        <v>13</v>
      </c>
      <c r="G61" s="0" t="s">
        <v>14</v>
      </c>
      <c r="H61" s="0" t="n">
        <v>4</v>
      </c>
    </row>
    <row r="62" customFormat="false" ht="15" hidden="false" customHeight="false" outlineLevel="0" collapsed="false">
      <c r="A62" s="0" t="s">
        <v>170</v>
      </c>
      <c r="B62" s="0" t="s">
        <v>314</v>
      </c>
      <c r="C62" s="0" t="s">
        <v>35</v>
      </c>
      <c r="D62" s="0" t="s">
        <v>10</v>
      </c>
      <c r="E62" s="0" t="n">
        <v>721</v>
      </c>
      <c r="F62" s="0" t="s">
        <v>28</v>
      </c>
      <c r="G62" s="0" t="s">
        <v>14</v>
      </c>
      <c r="H62" s="0" t="n">
        <v>4</v>
      </c>
    </row>
    <row r="63" customFormat="false" ht="15" hidden="false" customHeight="false" outlineLevel="0" collapsed="false">
      <c r="A63" s="0" t="s">
        <v>172</v>
      </c>
      <c r="B63" s="0" t="s">
        <v>312</v>
      </c>
      <c r="C63" s="0" t="s">
        <v>31</v>
      </c>
      <c r="D63" s="0" t="s">
        <v>11</v>
      </c>
      <c r="E63" s="0" t="n">
        <v>386</v>
      </c>
      <c r="F63" s="0" t="s">
        <v>28</v>
      </c>
      <c r="G63" s="0" t="s">
        <v>14</v>
      </c>
      <c r="H63" s="0" t="n">
        <v>4</v>
      </c>
    </row>
    <row r="64" customFormat="false" ht="15" hidden="false" customHeight="false" outlineLevel="0" collapsed="false">
      <c r="A64" s="0" t="s">
        <v>174</v>
      </c>
      <c r="B64" s="0" t="s">
        <v>315</v>
      </c>
      <c r="C64" s="0" t="s">
        <v>10</v>
      </c>
      <c r="D64" s="0" t="s">
        <v>17</v>
      </c>
      <c r="E64" s="0" t="n">
        <v>857</v>
      </c>
      <c r="F64" s="0" t="s">
        <v>37</v>
      </c>
      <c r="G64" s="0" t="s">
        <v>14</v>
      </c>
      <c r="H64" s="0" t="n">
        <v>4</v>
      </c>
    </row>
    <row r="65" customFormat="false" ht="15" hidden="false" customHeight="false" outlineLevel="0" collapsed="false">
      <c r="A65" s="0" t="s">
        <v>176</v>
      </c>
      <c r="B65" s="0" t="s">
        <v>303</v>
      </c>
      <c r="C65" s="0" t="s">
        <v>10</v>
      </c>
      <c r="D65" s="0" t="s">
        <v>17</v>
      </c>
      <c r="E65" s="0" t="n">
        <v>539</v>
      </c>
      <c r="F65" s="0" t="s">
        <v>28</v>
      </c>
      <c r="G65" s="0" t="s">
        <v>14</v>
      </c>
      <c r="H65" s="0" t="n">
        <v>4</v>
      </c>
    </row>
    <row r="66" customFormat="false" ht="15" hidden="false" customHeight="false" outlineLevel="0" collapsed="false">
      <c r="A66" s="0" t="s">
        <v>178</v>
      </c>
      <c r="B66" s="0" t="s">
        <v>310</v>
      </c>
      <c r="C66" s="0" t="s">
        <v>26</v>
      </c>
      <c r="D66" s="0" t="s">
        <v>40</v>
      </c>
      <c r="E66" s="0" t="n">
        <v>1033</v>
      </c>
      <c r="F66" s="0" t="s">
        <v>13</v>
      </c>
      <c r="G66" s="0" t="s">
        <v>53</v>
      </c>
    </row>
    <row r="67" customFormat="false" ht="15" hidden="false" customHeight="false" outlineLevel="0" collapsed="false">
      <c r="A67" s="0" t="s">
        <v>180</v>
      </c>
      <c r="B67" s="0" t="s">
        <v>307</v>
      </c>
      <c r="C67" s="0" t="s">
        <v>31</v>
      </c>
      <c r="D67" s="0" t="s">
        <v>40</v>
      </c>
      <c r="E67" s="0" t="n">
        <v>405</v>
      </c>
      <c r="F67" s="0" t="s">
        <v>37</v>
      </c>
      <c r="G67" s="0" t="s">
        <v>53</v>
      </c>
    </row>
    <row r="68" customFormat="false" ht="15" hidden="false" customHeight="false" outlineLevel="0" collapsed="false">
      <c r="A68" s="0" t="s">
        <v>182</v>
      </c>
      <c r="B68" s="0" t="s">
        <v>300</v>
      </c>
      <c r="C68" s="0" t="s">
        <v>35</v>
      </c>
      <c r="D68" s="0" t="s">
        <v>17</v>
      </c>
      <c r="E68" s="0" t="n">
        <v>818</v>
      </c>
      <c r="F68" s="0" t="s">
        <v>28</v>
      </c>
      <c r="G68" s="0" t="s">
        <v>14</v>
      </c>
      <c r="H68" s="0" t="n">
        <v>5</v>
      </c>
    </row>
    <row r="69" customFormat="false" ht="15" hidden="false" customHeight="false" outlineLevel="0" collapsed="false">
      <c r="A69" s="0" t="s">
        <v>184</v>
      </c>
      <c r="B69" s="0" t="s">
        <v>320</v>
      </c>
      <c r="C69" s="0" t="s">
        <v>26</v>
      </c>
      <c r="D69" s="0" t="s">
        <v>17</v>
      </c>
      <c r="E69" s="0" t="n">
        <v>926</v>
      </c>
      <c r="F69" s="0" t="s">
        <v>37</v>
      </c>
      <c r="G69" s="0" t="s">
        <v>14</v>
      </c>
      <c r="H69" s="0" t="n">
        <v>3</v>
      </c>
    </row>
    <row r="70" customFormat="false" ht="15" hidden="false" customHeight="false" outlineLevel="0" collapsed="false">
      <c r="A70" s="0" t="s">
        <v>186</v>
      </c>
      <c r="B70" s="0" t="s">
        <v>303</v>
      </c>
      <c r="C70" s="0" t="s">
        <v>35</v>
      </c>
      <c r="D70" s="0" t="s">
        <v>17</v>
      </c>
      <c r="E70" s="0" t="n">
        <v>150</v>
      </c>
      <c r="F70" s="0" t="s">
        <v>28</v>
      </c>
      <c r="G70" s="0" t="s">
        <v>14</v>
      </c>
      <c r="H70" s="0" t="n">
        <v>4</v>
      </c>
    </row>
    <row r="71" customFormat="false" ht="15" hidden="false" customHeight="false" outlineLevel="0" collapsed="false">
      <c r="A71" s="0" t="s">
        <v>188</v>
      </c>
      <c r="B71" s="0" t="s">
        <v>301</v>
      </c>
      <c r="C71" s="0" t="s">
        <v>31</v>
      </c>
      <c r="D71" s="0" t="s">
        <v>85</v>
      </c>
      <c r="E71" s="0" t="n">
        <v>1054</v>
      </c>
      <c r="F71" s="0" t="s">
        <v>28</v>
      </c>
      <c r="G71" s="0" t="s">
        <v>14</v>
      </c>
      <c r="H71" s="0" t="n">
        <v>5</v>
      </c>
    </row>
    <row r="72" customFormat="false" ht="15" hidden="false" customHeight="false" outlineLevel="0" collapsed="false">
      <c r="A72" s="0" t="s">
        <v>189</v>
      </c>
      <c r="B72" s="0" t="s">
        <v>324</v>
      </c>
      <c r="C72" s="0" t="s">
        <v>11</v>
      </c>
      <c r="D72" s="0" t="s">
        <v>10</v>
      </c>
      <c r="E72" s="0" t="n">
        <v>731</v>
      </c>
      <c r="F72" s="0" t="s">
        <v>37</v>
      </c>
      <c r="G72" s="0" t="s">
        <v>14</v>
      </c>
      <c r="H72" s="0" t="n">
        <v>5</v>
      </c>
    </row>
    <row r="73" customFormat="false" ht="15" hidden="false" customHeight="false" outlineLevel="0" collapsed="false">
      <c r="A73" s="0" t="s">
        <v>192</v>
      </c>
      <c r="B73" s="0" t="s">
        <v>314</v>
      </c>
      <c r="C73" s="0" t="s">
        <v>10</v>
      </c>
      <c r="D73" s="0" t="s">
        <v>22</v>
      </c>
      <c r="E73" s="0" t="n">
        <v>785</v>
      </c>
      <c r="F73" s="0" t="s">
        <v>13</v>
      </c>
      <c r="G73" s="0" t="s">
        <v>14</v>
      </c>
      <c r="H73" s="0" t="n">
        <v>3</v>
      </c>
    </row>
    <row r="74" customFormat="false" ht="15" hidden="false" customHeight="false" outlineLevel="0" collapsed="false">
      <c r="A74" s="0" t="s">
        <v>194</v>
      </c>
      <c r="B74" s="0" t="s">
        <v>310</v>
      </c>
      <c r="C74" s="0" t="s">
        <v>21</v>
      </c>
      <c r="D74" s="0" t="s">
        <v>22</v>
      </c>
      <c r="E74" s="0" t="n">
        <v>1123</v>
      </c>
      <c r="F74" s="0" t="s">
        <v>37</v>
      </c>
      <c r="G74" s="0" t="s">
        <v>53</v>
      </c>
    </row>
    <row r="75" customFormat="false" ht="15" hidden="false" customHeight="false" outlineLevel="0" collapsed="false">
      <c r="A75" s="0" t="s">
        <v>196</v>
      </c>
      <c r="B75" s="0" t="s">
        <v>304</v>
      </c>
      <c r="C75" s="0" t="s">
        <v>60</v>
      </c>
      <c r="D75" s="0" t="s">
        <v>17</v>
      </c>
      <c r="E75" s="0" t="n">
        <v>548</v>
      </c>
      <c r="F75" s="0" t="s">
        <v>37</v>
      </c>
      <c r="G75" s="0" t="s">
        <v>14</v>
      </c>
      <c r="H75" s="0" t="n">
        <v>4</v>
      </c>
    </row>
    <row r="76" customFormat="false" ht="15" hidden="false" customHeight="false" outlineLevel="0" collapsed="false">
      <c r="A76" s="0" t="s">
        <v>198</v>
      </c>
      <c r="B76" s="0" t="s">
        <v>322</v>
      </c>
      <c r="C76" s="0" t="s">
        <v>26</v>
      </c>
      <c r="D76" s="0" t="s">
        <v>26</v>
      </c>
      <c r="E76" s="0" t="n">
        <v>161</v>
      </c>
      <c r="F76" s="0" t="s">
        <v>13</v>
      </c>
      <c r="G76" s="0" t="s">
        <v>14</v>
      </c>
      <c r="H76" s="0" t="n">
        <v>3</v>
      </c>
    </row>
    <row r="77" customFormat="false" ht="15" hidden="false" customHeight="false" outlineLevel="0" collapsed="false">
      <c r="A77" s="0" t="s">
        <v>200</v>
      </c>
      <c r="B77" s="0" t="s">
        <v>325</v>
      </c>
      <c r="C77" s="0" t="s">
        <v>60</v>
      </c>
      <c r="D77" s="0" t="s">
        <v>11</v>
      </c>
      <c r="E77" s="0" t="n">
        <v>660</v>
      </c>
      <c r="F77" s="0" t="s">
        <v>13</v>
      </c>
      <c r="G77" s="0" t="s">
        <v>14</v>
      </c>
      <c r="H77" s="0" t="n">
        <v>4</v>
      </c>
    </row>
    <row r="78" customFormat="false" ht="15" hidden="false" customHeight="false" outlineLevel="0" collapsed="false">
      <c r="A78" s="0" t="s">
        <v>203</v>
      </c>
      <c r="B78" s="0" t="s">
        <v>312</v>
      </c>
      <c r="C78" s="0" t="s">
        <v>31</v>
      </c>
      <c r="D78" s="0" t="s">
        <v>85</v>
      </c>
      <c r="E78" s="0" t="n">
        <v>1183</v>
      </c>
      <c r="F78" s="0" t="s">
        <v>28</v>
      </c>
      <c r="G78" s="0" t="s">
        <v>53</v>
      </c>
    </row>
    <row r="79" customFormat="false" ht="15" hidden="false" customHeight="false" outlineLevel="0" collapsed="false">
      <c r="A79" s="0" t="s">
        <v>205</v>
      </c>
      <c r="B79" s="0" t="s">
        <v>309</v>
      </c>
      <c r="C79" s="0" t="s">
        <v>60</v>
      </c>
      <c r="D79" s="0" t="s">
        <v>26</v>
      </c>
      <c r="E79" s="0" t="n">
        <v>1122</v>
      </c>
      <c r="F79" s="0" t="s">
        <v>28</v>
      </c>
      <c r="G79" s="0" t="s">
        <v>14</v>
      </c>
      <c r="H79" s="0" t="n">
        <v>3</v>
      </c>
    </row>
    <row r="80" customFormat="false" ht="15" hidden="false" customHeight="false" outlineLevel="0" collapsed="false">
      <c r="A80" s="0" t="s">
        <v>207</v>
      </c>
      <c r="B80" s="0" t="s">
        <v>321</v>
      </c>
      <c r="C80" s="0" t="s">
        <v>35</v>
      </c>
      <c r="D80" s="0" t="s">
        <v>85</v>
      </c>
      <c r="E80" s="0" t="n">
        <v>639</v>
      </c>
      <c r="F80" s="0" t="s">
        <v>28</v>
      </c>
      <c r="G80" s="0" t="s">
        <v>14</v>
      </c>
      <c r="H80" s="0" t="n">
        <v>5</v>
      </c>
    </row>
    <row r="81" customFormat="false" ht="15" hidden="false" customHeight="false" outlineLevel="0" collapsed="false">
      <c r="A81" s="0" t="s">
        <v>209</v>
      </c>
      <c r="B81" s="0" t="s">
        <v>311</v>
      </c>
      <c r="C81" s="0" t="s">
        <v>26</v>
      </c>
      <c r="D81" s="0" t="s">
        <v>121</v>
      </c>
      <c r="E81" s="0" t="n">
        <v>837</v>
      </c>
      <c r="F81" s="0" t="s">
        <v>28</v>
      </c>
      <c r="G81" s="0" t="s">
        <v>53</v>
      </c>
    </row>
    <row r="82" customFormat="false" ht="15" hidden="false" customHeight="false" outlineLevel="0" collapsed="false">
      <c r="A82" s="0" t="s">
        <v>211</v>
      </c>
      <c r="B82" s="0" t="s">
        <v>304</v>
      </c>
      <c r="C82" s="0" t="s">
        <v>11</v>
      </c>
      <c r="D82" s="0" t="s">
        <v>26</v>
      </c>
      <c r="E82" s="0" t="n">
        <v>623</v>
      </c>
      <c r="F82" s="0" t="s">
        <v>28</v>
      </c>
      <c r="G82" s="0" t="s">
        <v>14</v>
      </c>
      <c r="H82" s="0" t="n">
        <v>5</v>
      </c>
    </row>
    <row r="83" customFormat="false" ht="15" hidden="false" customHeight="false" outlineLevel="0" collapsed="false">
      <c r="A83" s="0" t="s">
        <v>213</v>
      </c>
      <c r="B83" s="0" t="s">
        <v>319</v>
      </c>
      <c r="C83" s="0" t="s">
        <v>10</v>
      </c>
      <c r="D83" s="0" t="s">
        <v>17</v>
      </c>
      <c r="E83" s="0" t="n">
        <v>984</v>
      </c>
      <c r="F83" s="0" t="s">
        <v>28</v>
      </c>
      <c r="G83" s="0" t="s">
        <v>14</v>
      </c>
      <c r="H83" s="0" t="n">
        <v>4</v>
      </c>
    </row>
    <row r="84" customFormat="false" ht="15" hidden="false" customHeight="false" outlineLevel="0" collapsed="false">
      <c r="A84" s="0" t="s">
        <v>215</v>
      </c>
      <c r="B84" s="0" t="s">
        <v>315</v>
      </c>
      <c r="C84" s="0" t="s">
        <v>26</v>
      </c>
      <c r="D84" s="0" t="s">
        <v>17</v>
      </c>
      <c r="E84" s="0" t="n">
        <v>947</v>
      </c>
      <c r="F84" s="0" t="s">
        <v>37</v>
      </c>
      <c r="G84" s="0" t="s">
        <v>53</v>
      </c>
    </row>
    <row r="85" customFormat="false" ht="15" hidden="false" customHeight="false" outlineLevel="0" collapsed="false">
      <c r="A85" s="0" t="s">
        <v>217</v>
      </c>
      <c r="B85" s="0" t="s">
        <v>310</v>
      </c>
      <c r="C85" s="0" t="s">
        <v>68</v>
      </c>
      <c r="D85" s="0" t="s">
        <v>85</v>
      </c>
      <c r="E85" s="0" t="n">
        <v>162</v>
      </c>
      <c r="F85" s="0" t="s">
        <v>28</v>
      </c>
      <c r="G85" s="0" t="s">
        <v>14</v>
      </c>
      <c r="H85" s="0" t="n">
        <v>4</v>
      </c>
    </row>
    <row r="86" customFormat="false" ht="15" hidden="false" customHeight="false" outlineLevel="0" collapsed="false">
      <c r="A86" s="0" t="s">
        <v>219</v>
      </c>
      <c r="B86" s="0" t="s">
        <v>326</v>
      </c>
      <c r="C86" s="0" t="s">
        <v>68</v>
      </c>
      <c r="D86" s="0" t="s">
        <v>22</v>
      </c>
      <c r="E86" s="0" t="n">
        <v>1149</v>
      </c>
      <c r="F86" s="0" t="s">
        <v>13</v>
      </c>
      <c r="G86" s="0" t="s">
        <v>14</v>
      </c>
      <c r="H86" s="0" t="n">
        <v>4</v>
      </c>
    </row>
    <row r="87" customFormat="false" ht="15" hidden="false" customHeight="false" outlineLevel="0" collapsed="false">
      <c r="A87" s="0" t="s">
        <v>222</v>
      </c>
      <c r="B87" s="0" t="s">
        <v>310</v>
      </c>
      <c r="C87" s="0" t="s">
        <v>68</v>
      </c>
      <c r="D87" s="0" t="s">
        <v>40</v>
      </c>
      <c r="E87" s="0" t="n">
        <v>978</v>
      </c>
      <c r="F87" s="0" t="s">
        <v>37</v>
      </c>
      <c r="G87" s="0" t="s">
        <v>14</v>
      </c>
      <c r="H87" s="0" t="n">
        <v>4</v>
      </c>
    </row>
    <row r="88" customFormat="false" ht="15" hidden="false" customHeight="false" outlineLevel="0" collapsed="false">
      <c r="A88" s="0" t="s">
        <v>224</v>
      </c>
      <c r="B88" s="0" t="s">
        <v>307</v>
      </c>
      <c r="C88" s="0" t="s">
        <v>11</v>
      </c>
      <c r="D88" s="0" t="s">
        <v>11</v>
      </c>
      <c r="E88" s="0" t="n">
        <v>956</v>
      </c>
      <c r="F88" s="0" t="s">
        <v>37</v>
      </c>
      <c r="G88" s="0" t="s">
        <v>14</v>
      </c>
      <c r="H88" s="0" t="n">
        <v>3</v>
      </c>
    </row>
    <row r="89" customFormat="false" ht="15" hidden="false" customHeight="false" outlineLevel="0" collapsed="false">
      <c r="A89" s="0" t="s">
        <v>226</v>
      </c>
      <c r="B89" s="0" t="s">
        <v>304</v>
      </c>
      <c r="C89" s="0" t="s">
        <v>68</v>
      </c>
      <c r="D89" s="0" t="s">
        <v>26</v>
      </c>
      <c r="E89" s="0" t="n">
        <v>1095</v>
      </c>
      <c r="F89" s="0" t="s">
        <v>13</v>
      </c>
      <c r="G89" s="0" t="s">
        <v>14</v>
      </c>
      <c r="H89" s="0" t="n">
        <v>4</v>
      </c>
    </row>
    <row r="90" customFormat="false" ht="15" hidden="false" customHeight="false" outlineLevel="0" collapsed="false">
      <c r="A90" s="0" t="s">
        <v>228</v>
      </c>
      <c r="B90" s="0" t="s">
        <v>314</v>
      </c>
      <c r="C90" s="0" t="s">
        <v>26</v>
      </c>
      <c r="D90" s="0" t="s">
        <v>85</v>
      </c>
      <c r="E90" s="0" t="n">
        <v>819</v>
      </c>
      <c r="F90" s="0" t="s">
        <v>28</v>
      </c>
      <c r="G90" s="0" t="s">
        <v>14</v>
      </c>
      <c r="H90" s="0" t="n">
        <v>4</v>
      </c>
    </row>
    <row r="91" customFormat="false" ht="15" hidden="false" customHeight="false" outlineLevel="0" collapsed="false">
      <c r="A91" s="0" t="s">
        <v>230</v>
      </c>
      <c r="B91" s="0" t="s">
        <v>316</v>
      </c>
      <c r="C91" s="0" t="s">
        <v>68</v>
      </c>
      <c r="D91" s="0" t="s">
        <v>121</v>
      </c>
      <c r="E91" s="0" t="n">
        <v>317</v>
      </c>
      <c r="F91" s="0" t="s">
        <v>28</v>
      </c>
      <c r="G91" s="0" t="s">
        <v>14</v>
      </c>
      <c r="H91" s="0" t="n">
        <v>5</v>
      </c>
    </row>
    <row r="92" customFormat="false" ht="15" hidden="false" customHeight="false" outlineLevel="0" collapsed="false">
      <c r="A92" s="0" t="s">
        <v>231</v>
      </c>
      <c r="B92" s="0" t="s">
        <v>315</v>
      </c>
      <c r="C92" s="0" t="s">
        <v>31</v>
      </c>
      <c r="D92" s="0" t="s">
        <v>22</v>
      </c>
      <c r="E92" s="0" t="n">
        <v>290</v>
      </c>
      <c r="F92" s="0" t="s">
        <v>37</v>
      </c>
      <c r="G92" s="0" t="s">
        <v>14</v>
      </c>
      <c r="H92" s="0" t="n">
        <v>3</v>
      </c>
    </row>
    <row r="93" customFormat="false" ht="15" hidden="false" customHeight="false" outlineLevel="0" collapsed="false">
      <c r="A93" s="0" t="s">
        <v>233</v>
      </c>
      <c r="B93" s="0" t="s">
        <v>305</v>
      </c>
      <c r="C93" s="0" t="s">
        <v>26</v>
      </c>
      <c r="D93" s="0" t="s">
        <v>11</v>
      </c>
      <c r="E93" s="0" t="n">
        <v>462</v>
      </c>
      <c r="F93" s="0" t="s">
        <v>13</v>
      </c>
      <c r="G93" s="0" t="s">
        <v>14</v>
      </c>
      <c r="H93" s="0" t="n">
        <v>5</v>
      </c>
    </row>
    <row r="94" customFormat="false" ht="15" hidden="false" customHeight="false" outlineLevel="0" collapsed="false">
      <c r="A94" s="0" t="s">
        <v>235</v>
      </c>
      <c r="B94" s="0" t="s">
        <v>299</v>
      </c>
      <c r="C94" s="0" t="s">
        <v>26</v>
      </c>
      <c r="D94" s="0" t="s">
        <v>85</v>
      </c>
      <c r="E94" s="0" t="n">
        <v>674</v>
      </c>
      <c r="F94" s="0" t="s">
        <v>28</v>
      </c>
      <c r="G94" s="0" t="s">
        <v>14</v>
      </c>
      <c r="H94" s="0" t="n">
        <v>5</v>
      </c>
    </row>
    <row r="95" customFormat="false" ht="15" hidden="false" customHeight="false" outlineLevel="0" collapsed="false">
      <c r="A95" s="0" t="s">
        <v>237</v>
      </c>
      <c r="B95" s="0" t="s">
        <v>327</v>
      </c>
      <c r="C95" s="0" t="s">
        <v>10</v>
      </c>
      <c r="D95" s="0" t="s">
        <v>26</v>
      </c>
      <c r="E95" s="0" t="n">
        <v>787</v>
      </c>
      <c r="F95" s="0" t="s">
        <v>13</v>
      </c>
      <c r="G95" s="0" t="s">
        <v>14</v>
      </c>
      <c r="H95" s="0" t="n">
        <v>4</v>
      </c>
    </row>
    <row r="96" customFormat="false" ht="15" hidden="false" customHeight="false" outlineLevel="0" collapsed="false">
      <c r="A96" s="0" t="s">
        <v>240</v>
      </c>
      <c r="B96" s="0" t="s">
        <v>317</v>
      </c>
      <c r="C96" s="0" t="s">
        <v>68</v>
      </c>
      <c r="D96" s="0" t="s">
        <v>17</v>
      </c>
      <c r="E96" s="0" t="n">
        <v>556</v>
      </c>
      <c r="F96" s="0" t="s">
        <v>13</v>
      </c>
      <c r="G96" s="0" t="s">
        <v>14</v>
      </c>
      <c r="H96" s="0" t="n">
        <v>5</v>
      </c>
    </row>
    <row r="97" customFormat="false" ht="15" hidden="false" customHeight="false" outlineLevel="0" collapsed="false">
      <c r="A97" s="0" t="s">
        <v>242</v>
      </c>
      <c r="B97" s="0" t="s">
        <v>305</v>
      </c>
      <c r="C97" s="0" t="s">
        <v>10</v>
      </c>
      <c r="D97" s="0" t="s">
        <v>121</v>
      </c>
      <c r="E97" s="0" t="n">
        <v>397</v>
      </c>
      <c r="F97" s="0" t="s">
        <v>37</v>
      </c>
      <c r="G97" s="0" t="s">
        <v>14</v>
      </c>
      <c r="H97" s="0" t="n">
        <v>4</v>
      </c>
    </row>
    <row r="98" customFormat="false" ht="15" hidden="false" customHeight="false" outlineLevel="0" collapsed="false">
      <c r="A98" s="0" t="s">
        <v>244</v>
      </c>
      <c r="B98" s="0" t="s">
        <v>309</v>
      </c>
      <c r="C98" s="0" t="s">
        <v>68</v>
      </c>
      <c r="D98" s="0" t="s">
        <v>40</v>
      </c>
      <c r="E98" s="0" t="n">
        <v>291</v>
      </c>
      <c r="F98" s="0" t="s">
        <v>37</v>
      </c>
      <c r="G98" s="0" t="s">
        <v>14</v>
      </c>
      <c r="H98" s="0" t="n">
        <v>3</v>
      </c>
    </row>
    <row r="99" customFormat="false" ht="15" hidden="false" customHeight="false" outlineLevel="0" collapsed="false">
      <c r="A99" s="0" t="s">
        <v>245</v>
      </c>
      <c r="B99" s="0" t="s">
        <v>326</v>
      </c>
      <c r="C99" s="0" t="s">
        <v>68</v>
      </c>
      <c r="D99" s="0" t="s">
        <v>85</v>
      </c>
      <c r="E99" s="0" t="n">
        <v>366</v>
      </c>
      <c r="F99" s="0" t="s">
        <v>28</v>
      </c>
      <c r="G99" s="0" t="s">
        <v>53</v>
      </c>
    </row>
    <row r="100" customFormat="false" ht="15" hidden="false" customHeight="false" outlineLevel="0" collapsed="false">
      <c r="A100" s="0" t="s">
        <v>247</v>
      </c>
      <c r="B100" s="0" t="s">
        <v>298</v>
      </c>
      <c r="C100" s="0" t="s">
        <v>60</v>
      </c>
      <c r="D100" s="0" t="s">
        <v>26</v>
      </c>
      <c r="E100" s="0" t="n">
        <v>1041</v>
      </c>
      <c r="F100" s="0" t="s">
        <v>13</v>
      </c>
      <c r="G100" s="0" t="s">
        <v>14</v>
      </c>
      <c r="H100" s="0" t="n">
        <v>5</v>
      </c>
    </row>
    <row r="101" customFormat="false" ht="15" hidden="false" customHeight="false" outlineLevel="0" collapsed="false">
      <c r="A101" s="0" t="s">
        <v>249</v>
      </c>
      <c r="B101" s="0" t="s">
        <v>316</v>
      </c>
      <c r="C101" s="0" t="s">
        <v>60</v>
      </c>
      <c r="D101" s="0" t="s">
        <v>85</v>
      </c>
      <c r="E101" s="0" t="n">
        <v>1042</v>
      </c>
      <c r="F101" s="0" t="s">
        <v>37</v>
      </c>
      <c r="G101" s="0" t="s">
        <v>14</v>
      </c>
      <c r="H101" s="0" t="n">
        <v>4</v>
      </c>
    </row>
    <row r="102" customFormat="false" ht="15" hidden="false" customHeight="false" outlineLevel="0" collapsed="false">
      <c r="A102" s="0" t="s">
        <v>251</v>
      </c>
      <c r="B102" s="0" t="s">
        <v>326</v>
      </c>
      <c r="C102" s="0" t="s">
        <v>26</v>
      </c>
      <c r="D102" s="0" t="s">
        <v>10</v>
      </c>
      <c r="E102" s="0" t="n">
        <v>721</v>
      </c>
      <c r="F102" s="0" t="s">
        <v>28</v>
      </c>
      <c r="G102" s="0" t="s">
        <v>14</v>
      </c>
      <c r="H102" s="0" t="n">
        <v>4</v>
      </c>
    </row>
    <row r="103" customFormat="false" ht="15" hidden="false" customHeight="false" outlineLevel="0" collapsed="false">
      <c r="A103" s="0" t="s">
        <v>252</v>
      </c>
      <c r="B103" s="0" t="s">
        <v>317</v>
      </c>
      <c r="C103" s="0" t="s">
        <v>68</v>
      </c>
      <c r="D103" s="0" t="s">
        <v>40</v>
      </c>
      <c r="E103" s="0" t="n">
        <v>208</v>
      </c>
      <c r="F103" s="0" t="s">
        <v>28</v>
      </c>
      <c r="G103" s="0" t="s">
        <v>53</v>
      </c>
    </row>
    <row r="104" customFormat="false" ht="15" hidden="false" customHeight="false" outlineLevel="0" collapsed="false">
      <c r="A104" s="0" t="s">
        <v>254</v>
      </c>
      <c r="B104" s="0" t="s">
        <v>325</v>
      </c>
      <c r="C104" s="0" t="s">
        <v>60</v>
      </c>
      <c r="D104" s="0" t="s">
        <v>22</v>
      </c>
      <c r="E104" s="0" t="n">
        <v>876</v>
      </c>
      <c r="F104" s="0" t="s">
        <v>28</v>
      </c>
      <c r="G104" s="0" t="s">
        <v>14</v>
      </c>
      <c r="H104" s="0" t="n">
        <v>5</v>
      </c>
    </row>
    <row r="105" customFormat="false" ht="15" hidden="false" customHeight="false" outlineLevel="0" collapsed="false">
      <c r="A105" s="0" t="s">
        <v>256</v>
      </c>
      <c r="B105" s="0" t="s">
        <v>306</v>
      </c>
      <c r="C105" s="0" t="s">
        <v>35</v>
      </c>
      <c r="D105" s="0" t="s">
        <v>11</v>
      </c>
      <c r="E105" s="0" t="n">
        <v>541</v>
      </c>
      <c r="F105" s="0" t="s">
        <v>13</v>
      </c>
      <c r="G105" s="0" t="s">
        <v>14</v>
      </c>
      <c r="H105" s="0" t="n">
        <v>4</v>
      </c>
    </row>
    <row r="106" customFormat="false" ht="15" hidden="false" customHeight="false" outlineLevel="0" collapsed="false">
      <c r="A106" s="0" t="s">
        <v>258</v>
      </c>
      <c r="B106" s="0" t="s">
        <v>324</v>
      </c>
      <c r="C106" s="0" t="s">
        <v>26</v>
      </c>
      <c r="D106" s="0" t="s">
        <v>85</v>
      </c>
      <c r="E106" s="0" t="n">
        <v>1155</v>
      </c>
      <c r="F106" s="0" t="s">
        <v>28</v>
      </c>
      <c r="G106" s="0" t="s">
        <v>14</v>
      </c>
      <c r="H106" s="0" t="n">
        <v>3</v>
      </c>
    </row>
    <row r="107" customFormat="false" ht="15" hidden="false" customHeight="false" outlineLevel="0" collapsed="false">
      <c r="A107" s="0" t="s">
        <v>260</v>
      </c>
      <c r="B107" s="0" t="s">
        <v>311</v>
      </c>
      <c r="C107" s="0" t="s">
        <v>26</v>
      </c>
      <c r="D107" s="0" t="s">
        <v>17</v>
      </c>
      <c r="E107" s="0" t="n">
        <v>648</v>
      </c>
      <c r="F107" s="0" t="s">
        <v>28</v>
      </c>
      <c r="G107" s="0" t="s">
        <v>14</v>
      </c>
      <c r="H107" s="0" t="n">
        <v>4</v>
      </c>
    </row>
    <row r="108" customFormat="false" ht="15" hidden="false" customHeight="false" outlineLevel="0" collapsed="false">
      <c r="A108" s="0" t="s">
        <v>262</v>
      </c>
      <c r="B108" s="0" t="s">
        <v>324</v>
      </c>
      <c r="C108" s="0" t="s">
        <v>31</v>
      </c>
      <c r="D108" s="0" t="s">
        <v>17</v>
      </c>
      <c r="E108" s="0" t="n">
        <v>827</v>
      </c>
      <c r="F108" s="0" t="s">
        <v>28</v>
      </c>
      <c r="G108" s="0" t="s">
        <v>14</v>
      </c>
      <c r="H108" s="0" t="n">
        <v>4</v>
      </c>
    </row>
    <row r="109" customFormat="false" ht="15" hidden="false" customHeight="false" outlineLevel="0" collapsed="false">
      <c r="A109" s="0" t="s">
        <v>264</v>
      </c>
      <c r="B109" s="0" t="s">
        <v>311</v>
      </c>
      <c r="C109" s="0" t="s">
        <v>35</v>
      </c>
      <c r="D109" s="0" t="s">
        <v>22</v>
      </c>
      <c r="E109" s="0" t="n">
        <v>397</v>
      </c>
      <c r="F109" s="0" t="s">
        <v>37</v>
      </c>
      <c r="G109" s="0" t="s">
        <v>14</v>
      </c>
      <c r="H109" s="0" t="n">
        <v>3</v>
      </c>
    </row>
    <row r="110" customFormat="false" ht="15" hidden="false" customHeight="false" outlineLevel="0" collapsed="false">
      <c r="A110" s="0" t="s">
        <v>265</v>
      </c>
      <c r="B110" s="0" t="s">
        <v>327</v>
      </c>
      <c r="C110" s="0" t="s">
        <v>11</v>
      </c>
      <c r="D110" s="0" t="s">
        <v>22</v>
      </c>
      <c r="E110" s="0" t="n">
        <v>593</v>
      </c>
      <c r="F110" s="0" t="s">
        <v>37</v>
      </c>
      <c r="G110" s="0" t="s">
        <v>14</v>
      </c>
      <c r="H110" s="0" t="n">
        <v>5</v>
      </c>
    </row>
    <row r="111" customFormat="false" ht="15" hidden="false" customHeight="false" outlineLevel="0" collapsed="false">
      <c r="A111" s="0" t="s">
        <v>267</v>
      </c>
      <c r="B111" s="0" t="s">
        <v>317</v>
      </c>
      <c r="C111" s="0" t="s">
        <v>35</v>
      </c>
      <c r="D111" s="0" t="s">
        <v>10</v>
      </c>
      <c r="E111" s="0" t="n">
        <v>547</v>
      </c>
      <c r="F111" s="0" t="s">
        <v>28</v>
      </c>
      <c r="G111" s="0" t="s">
        <v>14</v>
      </c>
      <c r="H111" s="0" t="n">
        <v>3</v>
      </c>
    </row>
    <row r="112" customFormat="false" ht="15" hidden="false" customHeight="false" outlineLevel="0" collapsed="false">
      <c r="A112" s="0" t="s">
        <v>269</v>
      </c>
      <c r="B112" s="0" t="s">
        <v>311</v>
      </c>
      <c r="C112" s="0" t="s">
        <v>21</v>
      </c>
      <c r="D112" s="0" t="s">
        <v>26</v>
      </c>
      <c r="E112" s="0" t="n">
        <v>711</v>
      </c>
      <c r="F112" s="0" t="s">
        <v>13</v>
      </c>
      <c r="G112" s="0" t="s">
        <v>53</v>
      </c>
    </row>
    <row r="113" customFormat="false" ht="15" hidden="false" customHeight="false" outlineLevel="0" collapsed="false">
      <c r="A113" s="0" t="s">
        <v>271</v>
      </c>
      <c r="B113" s="0" t="s">
        <v>309</v>
      </c>
      <c r="C113" s="0" t="s">
        <v>35</v>
      </c>
      <c r="D113" s="0" t="s">
        <v>26</v>
      </c>
      <c r="E113" s="0" t="n">
        <v>1155</v>
      </c>
      <c r="F113" s="0" t="s">
        <v>13</v>
      </c>
      <c r="G113" s="0" t="s">
        <v>53</v>
      </c>
    </row>
    <row r="114" customFormat="false" ht="15" hidden="false" customHeight="false" outlineLevel="0" collapsed="false">
      <c r="A114" s="0" t="s">
        <v>272</v>
      </c>
      <c r="B114" s="0" t="s">
        <v>317</v>
      </c>
      <c r="C114" s="0" t="s">
        <v>35</v>
      </c>
      <c r="D114" s="0" t="s">
        <v>85</v>
      </c>
      <c r="E114" s="0" t="n">
        <v>1130</v>
      </c>
      <c r="F114" s="0" t="s">
        <v>28</v>
      </c>
      <c r="G114" s="0" t="s">
        <v>14</v>
      </c>
      <c r="H114" s="0" t="n">
        <v>3</v>
      </c>
    </row>
    <row r="115" customFormat="false" ht="15" hidden="false" customHeight="false" outlineLevel="0" collapsed="false">
      <c r="A115" s="0" t="s">
        <v>274</v>
      </c>
      <c r="B115" s="0" t="s">
        <v>316</v>
      </c>
      <c r="C115" s="0" t="s">
        <v>60</v>
      </c>
      <c r="D115" s="0" t="s">
        <v>10</v>
      </c>
      <c r="E115" s="0" t="n">
        <v>283</v>
      </c>
      <c r="F115" s="0" t="s">
        <v>28</v>
      </c>
      <c r="G115" s="0" t="s">
        <v>14</v>
      </c>
      <c r="H115" s="0" t="n">
        <v>5</v>
      </c>
    </row>
    <row r="116" customFormat="false" ht="15" hidden="false" customHeight="false" outlineLevel="0" collapsed="false">
      <c r="A116" s="0" t="s">
        <v>276</v>
      </c>
      <c r="B116" s="0" t="s">
        <v>298</v>
      </c>
      <c r="C116" s="0" t="s">
        <v>21</v>
      </c>
      <c r="D116" s="0" t="s">
        <v>26</v>
      </c>
      <c r="E116" s="0" t="n">
        <v>455</v>
      </c>
      <c r="F116" s="0" t="s">
        <v>37</v>
      </c>
      <c r="G116" s="0" t="s">
        <v>53</v>
      </c>
    </row>
    <row r="117" customFormat="false" ht="15" hidden="false" customHeight="false" outlineLevel="0" collapsed="false">
      <c r="A117" s="0" t="s">
        <v>277</v>
      </c>
      <c r="B117" s="0" t="s">
        <v>304</v>
      </c>
      <c r="C117" s="0" t="s">
        <v>26</v>
      </c>
      <c r="D117" s="0" t="s">
        <v>10</v>
      </c>
      <c r="E117" s="0" t="n">
        <v>1002</v>
      </c>
      <c r="F117" s="0" t="s">
        <v>37</v>
      </c>
      <c r="G117" s="0" t="s">
        <v>14</v>
      </c>
      <c r="H117" s="0" t="n">
        <v>5</v>
      </c>
    </row>
    <row r="118" customFormat="false" ht="15" hidden="false" customHeight="false" outlineLevel="0" collapsed="false">
      <c r="A118" s="0" t="s">
        <v>279</v>
      </c>
      <c r="B118" s="0" t="s">
        <v>305</v>
      </c>
      <c r="C118" s="0" t="s">
        <v>68</v>
      </c>
      <c r="D118" s="0" t="s">
        <v>85</v>
      </c>
      <c r="E118" s="0" t="n">
        <v>1056</v>
      </c>
      <c r="F118" s="0" t="s">
        <v>28</v>
      </c>
      <c r="G118" s="0" t="s">
        <v>53</v>
      </c>
    </row>
    <row r="119" customFormat="false" ht="15" hidden="false" customHeight="false" outlineLevel="0" collapsed="false">
      <c r="A119" s="0" t="s">
        <v>281</v>
      </c>
      <c r="B119" s="0" t="s">
        <v>313</v>
      </c>
      <c r="C119" s="0" t="s">
        <v>35</v>
      </c>
      <c r="D119" s="0" t="s">
        <v>11</v>
      </c>
      <c r="E119" s="0" t="n">
        <v>353</v>
      </c>
      <c r="F119" s="0" t="s">
        <v>13</v>
      </c>
      <c r="G119" s="0" t="s">
        <v>14</v>
      </c>
      <c r="H119" s="0" t="n">
        <v>4</v>
      </c>
    </row>
    <row r="120" customFormat="false" ht="15" hidden="false" customHeight="false" outlineLevel="0" collapsed="false">
      <c r="A120" s="0" t="s">
        <v>283</v>
      </c>
      <c r="B120" s="0" t="s">
        <v>312</v>
      </c>
      <c r="C120" s="0" t="s">
        <v>10</v>
      </c>
      <c r="D120" s="0" t="s">
        <v>26</v>
      </c>
      <c r="E120" s="0" t="n">
        <v>641</v>
      </c>
      <c r="F120" s="0" t="s">
        <v>13</v>
      </c>
      <c r="G120" s="0" t="s">
        <v>14</v>
      </c>
      <c r="H120" s="0" t="n">
        <v>3</v>
      </c>
    </row>
    <row r="121" customFormat="false" ht="15" hidden="false" customHeight="false" outlineLevel="0" collapsed="false">
      <c r="A121" s="0" t="s">
        <v>285</v>
      </c>
      <c r="B121" s="0" t="s">
        <v>310</v>
      </c>
      <c r="C121" s="0" t="s">
        <v>68</v>
      </c>
      <c r="D121" s="0" t="s">
        <v>85</v>
      </c>
      <c r="E121" s="0" t="n">
        <v>1112</v>
      </c>
      <c r="F121" s="0" t="s">
        <v>28</v>
      </c>
      <c r="G121" s="0" t="s">
        <v>14</v>
      </c>
      <c r="H121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2" style="0" width="15"/>
  </cols>
  <sheetData>
    <row r="2" customFormat="false" ht="19.7" hidden="false" customHeight="false" outlineLevel="0" collapsed="false">
      <c r="B2" s="2" t="s">
        <v>328</v>
      </c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B4" s="3" t="s">
        <v>329</v>
      </c>
      <c r="C4" s="3" t="s">
        <v>330</v>
      </c>
      <c r="D4" s="3" t="s">
        <v>331</v>
      </c>
      <c r="E4" s="3" t="s">
        <v>332</v>
      </c>
      <c r="F4" s="3" t="s">
        <v>333</v>
      </c>
      <c r="G4" s="3" t="s">
        <v>334</v>
      </c>
    </row>
    <row r="5" customFormat="false" ht="22.05" hidden="false" customHeight="false" outlineLevel="0" collapsed="false">
      <c r="B5" s="4" t="n">
        <f aca="false">COUNTA('Cleaned Data'!$A$2:$A$121)</f>
        <v>120</v>
      </c>
      <c r="C5" s="4" t="n">
        <f aca="false">COUNTIF('Cleaned Data'!$G$2:$G$121,"Completed")</f>
        <v>96</v>
      </c>
      <c r="D5" s="4" t="n">
        <f aca="false">COUNTIF('Cleaned Data'!$G$2:$G$121,"Cancelled")</f>
        <v>24</v>
      </c>
      <c r="E5" s="4" t="n">
        <f aca="false">SUMIFS('Cleaned Data'!$E$2:$E$121,'Cleaned Data'!$G$2:$G$121,"Completed")</f>
        <v>65427</v>
      </c>
      <c r="F5" s="4" t="n">
        <f aca="false">ROUND(AVERAGEIFS('Cleaned Data'!$E$2:$E$121,'Cleaned Data'!$G$2:$G$121,"Completed"),0)</f>
        <v>682</v>
      </c>
      <c r="G5" s="4" t="n">
        <f aca="false">ROUND(AVERAGE('Cleaned Data'!$H$2:$H$121),2)</f>
        <v>3.96</v>
      </c>
    </row>
    <row r="8" customFormat="false" ht="15" hidden="false" customHeight="false" outlineLevel="0" collapsed="false">
      <c r="B8" s="5" t="s">
        <v>335</v>
      </c>
      <c r="F8" s="5" t="s">
        <v>336</v>
      </c>
      <c r="I8" s="5" t="s">
        <v>337</v>
      </c>
      <c r="L8" s="5" t="s">
        <v>338</v>
      </c>
    </row>
    <row r="9" customFormat="false" ht="15" hidden="false" customHeight="false" outlineLevel="0" collapsed="false">
      <c r="A9" s="1"/>
      <c r="B9" s="1" t="s">
        <v>1</v>
      </c>
      <c r="C9" s="1" t="s">
        <v>339</v>
      </c>
      <c r="D9" s="6" t="s">
        <v>340</v>
      </c>
      <c r="F9" s="7" t="s">
        <v>5</v>
      </c>
      <c r="G9" s="7" t="s">
        <v>339</v>
      </c>
      <c r="I9" s="7" t="s">
        <v>341</v>
      </c>
      <c r="J9" s="7" t="s">
        <v>339</v>
      </c>
      <c r="L9" s="7" t="s">
        <v>2</v>
      </c>
      <c r="M9" s="7" t="s">
        <v>339</v>
      </c>
    </row>
    <row r="10" customFormat="false" ht="15" hidden="false" customHeight="false" outlineLevel="0" collapsed="false">
      <c r="B10" s="0" t="s">
        <v>310</v>
      </c>
      <c r="C10" s="0" t="n">
        <f aca="false">COUNTIF('Cleaned Data'!$B$2:$B$121,$B10)</f>
        <v>8</v>
      </c>
      <c r="D10" s="0" t="n">
        <f aca="false">SUMIFS('Cleaned Data'!$E$2:$E$121,'Cleaned Data'!$B$2:$B$121,$B10,'Cleaned Data'!$G$2:$G$121,"Completed")</f>
        <v>3007</v>
      </c>
      <c r="F10" s="0" t="s">
        <v>28</v>
      </c>
      <c r="G10" s="0" t="n">
        <f aca="false">COUNTIF('Cleaned Data'!$F$2:$F$121,$F10)</f>
        <v>45</v>
      </c>
      <c r="I10" s="0" t="s">
        <v>53</v>
      </c>
      <c r="J10" s="0" t="n">
        <f aca="false">COUNTIF('Cleaned Data'!$G$2:$G$121,$I10)</f>
        <v>24</v>
      </c>
      <c r="L10" s="0" t="s">
        <v>35</v>
      </c>
      <c r="M10" s="0" t="n">
        <f aca="false">COUNTIF('Cleaned Data'!$C$2:$C$121,$L10)</f>
        <v>21</v>
      </c>
    </row>
    <row r="11" customFormat="false" ht="15" hidden="false" customHeight="false" outlineLevel="0" collapsed="false">
      <c r="B11" s="0" t="s">
        <v>315</v>
      </c>
      <c r="C11" s="0" t="n">
        <f aca="false">COUNTIF('Cleaned Data'!$B$2:$B$121,$B11)</f>
        <v>5</v>
      </c>
      <c r="D11" s="0" t="n">
        <f aca="false">SUMIFS('Cleaned Data'!$E$2:$E$121,'Cleaned Data'!$B$2:$B$121,$B11,'Cleaned Data'!$G$2:$G$121,"Completed")</f>
        <v>2335</v>
      </c>
      <c r="F11" s="0" t="s">
        <v>13</v>
      </c>
      <c r="G11" s="0" t="n">
        <f aca="false">COUNTIF('Cleaned Data'!$F$2:$F$121,$F11)</f>
        <v>42</v>
      </c>
      <c r="I11" s="0" t="s">
        <v>14</v>
      </c>
      <c r="J11" s="0" t="n">
        <f aca="false">COUNTIF('Cleaned Data'!$G$2:$G$121,$I11)</f>
        <v>96</v>
      </c>
      <c r="L11" s="0" t="s">
        <v>26</v>
      </c>
      <c r="M11" s="0" t="n">
        <f aca="false">COUNTIF('Cleaned Data'!$C$2:$C$121,$L11)</f>
        <v>19</v>
      </c>
    </row>
    <row r="12" customFormat="false" ht="15" hidden="false" customHeight="false" outlineLevel="0" collapsed="false">
      <c r="B12" s="0" t="s">
        <v>304</v>
      </c>
      <c r="C12" s="0" t="n">
        <f aca="false">COUNTIF('Cleaned Data'!$B$2:$B$121,$B12)</f>
        <v>8</v>
      </c>
      <c r="D12" s="0" t="n">
        <f aca="false">SUMIFS('Cleaned Data'!$E$2:$E$121,'Cleaned Data'!$B$2:$B$121,$B12,'Cleaned Data'!$G$2:$G$121,"Completed")</f>
        <v>4342</v>
      </c>
      <c r="F12" s="0" t="s">
        <v>37</v>
      </c>
      <c r="G12" s="0" t="n">
        <f aca="false">COUNTIF('Cleaned Data'!$F$2:$F$121,$F12)</f>
        <v>33</v>
      </c>
      <c r="L12" s="0" t="s">
        <v>68</v>
      </c>
      <c r="M12" s="0" t="n">
        <f aca="false">COUNTIF('Cleaned Data'!$C$2:$C$121,$L12)</f>
        <v>18</v>
      </c>
    </row>
    <row r="13" customFormat="false" ht="15" hidden="false" customHeight="false" outlineLevel="0" collapsed="false">
      <c r="B13" s="0" t="s">
        <v>299</v>
      </c>
      <c r="C13" s="0" t="n">
        <f aca="false">COUNTIF('Cleaned Data'!$B$2:$B$121,$B13)</f>
        <v>2</v>
      </c>
      <c r="D13" s="0" t="n">
        <f aca="false">SUMIFS('Cleaned Data'!$E$2:$E$121,'Cleaned Data'!$B$2:$B$121,$B13,'Cleaned Data'!$G$2:$G$121,"Completed")</f>
        <v>889</v>
      </c>
      <c r="L13" s="0" t="s">
        <v>10</v>
      </c>
      <c r="M13" s="0" t="n">
        <f aca="false">COUNTIF('Cleaned Data'!$C$2:$C$121,$L13)</f>
        <v>15</v>
      </c>
    </row>
    <row r="14" customFormat="false" ht="15" hidden="false" customHeight="false" outlineLevel="0" collapsed="false">
      <c r="B14" s="0" t="s">
        <v>320</v>
      </c>
      <c r="C14" s="0" t="n">
        <f aca="false">COUNTIF('Cleaned Data'!$B$2:$B$121,$B14)</f>
        <v>2</v>
      </c>
      <c r="D14" s="0" t="n">
        <f aca="false">SUMIFS('Cleaned Data'!$E$2:$E$121,'Cleaned Data'!$B$2:$B$121,$B14,'Cleaned Data'!$G$2:$G$121,"Completed")</f>
        <v>1576</v>
      </c>
      <c r="L14" s="0" t="s">
        <v>31</v>
      </c>
      <c r="M14" s="0" t="n">
        <f aca="false">COUNTIF('Cleaned Data'!$C$2:$C$121,$L14)</f>
        <v>15</v>
      </c>
    </row>
    <row r="15" customFormat="false" ht="15" hidden="false" customHeight="false" outlineLevel="0" collapsed="false">
      <c r="B15" s="0" t="s">
        <v>325</v>
      </c>
      <c r="C15" s="0" t="n">
        <f aca="false">COUNTIF('Cleaned Data'!$B$2:$B$121,$B15)</f>
        <v>2</v>
      </c>
      <c r="D15" s="0" t="n">
        <f aca="false">SUMIFS('Cleaned Data'!$E$2:$E$121,'Cleaned Data'!$B$2:$B$121,$B15,'Cleaned Data'!$G$2:$G$121,"Completed")</f>
        <v>1536</v>
      </c>
      <c r="L15" s="0" t="s">
        <v>60</v>
      </c>
      <c r="M15" s="0" t="n">
        <f aca="false">COUNTIF('Cleaned Data'!$C$2:$C$121,$L15)</f>
        <v>15</v>
      </c>
    </row>
    <row r="16" customFormat="false" ht="15" hidden="false" customHeight="false" outlineLevel="0" collapsed="false">
      <c r="B16" s="0" t="s">
        <v>319</v>
      </c>
      <c r="C16" s="0" t="n">
        <f aca="false">COUNTIF('Cleaned Data'!$B$2:$B$121,$B16)</f>
        <v>2</v>
      </c>
      <c r="D16" s="0" t="n">
        <f aca="false">SUMIFS('Cleaned Data'!$E$2:$E$121,'Cleaned Data'!$B$2:$B$121,$B16,'Cleaned Data'!$G$2:$G$121,"Completed")</f>
        <v>1471</v>
      </c>
      <c r="L16" s="0" t="s">
        <v>21</v>
      </c>
      <c r="M16" s="0" t="n">
        <f aca="false">COUNTIF('Cleaned Data'!$C$2:$C$121,$L16)</f>
        <v>10</v>
      </c>
    </row>
    <row r="17" customFormat="false" ht="15" hidden="false" customHeight="false" outlineLevel="0" collapsed="false">
      <c r="B17" s="0" t="s">
        <v>305</v>
      </c>
      <c r="C17" s="0" t="n">
        <f aca="false">COUNTIF('Cleaned Data'!$B$2:$B$121,$B17)</f>
        <v>5</v>
      </c>
      <c r="D17" s="0" t="n">
        <f aca="false">SUMIFS('Cleaned Data'!$E$2:$E$121,'Cleaned Data'!$B$2:$B$121,$B17,'Cleaned Data'!$G$2:$G$121,"Completed")</f>
        <v>2553</v>
      </c>
      <c r="L17" s="0" t="s">
        <v>11</v>
      </c>
      <c r="M17" s="0" t="n">
        <f aca="false">COUNTIF('Cleaned Data'!$C$2:$C$121,$L17)</f>
        <v>7</v>
      </c>
    </row>
    <row r="18" customFormat="false" ht="15" hidden="false" customHeight="false" outlineLevel="0" collapsed="false">
      <c r="B18" s="0" t="s">
        <v>316</v>
      </c>
      <c r="C18" s="0" t="n">
        <f aca="false">COUNTIF('Cleaned Data'!$B$2:$B$121,$B18)</f>
        <v>7</v>
      </c>
      <c r="D18" s="0" t="n">
        <f aca="false">SUMIFS('Cleaned Data'!$E$2:$E$121,'Cleaned Data'!$B$2:$B$121,$B18,'Cleaned Data'!$G$2:$G$121,"Completed")</f>
        <v>2874</v>
      </c>
    </row>
    <row r="19" customFormat="false" ht="15" hidden="false" customHeight="false" outlineLevel="0" collapsed="false">
      <c r="B19" s="0" t="s">
        <v>311</v>
      </c>
      <c r="C19" s="0" t="n">
        <f aca="false">COUNTIF('Cleaned Data'!$B$2:$B$121,$B19)</f>
        <v>5</v>
      </c>
      <c r="D19" s="0" t="n">
        <f aca="false">SUMIFS('Cleaned Data'!$E$2:$E$121,'Cleaned Data'!$B$2:$B$121,$B19,'Cleaned Data'!$G$2:$G$121,"Completed")</f>
        <v>1960</v>
      </c>
    </row>
    <row r="20" customFormat="false" ht="15" hidden="false" customHeight="false" outlineLevel="0" collapsed="false">
      <c r="B20" s="0" t="s">
        <v>314</v>
      </c>
      <c r="C20" s="0" t="n">
        <f aca="false">COUNTIF('Cleaned Data'!$B$2:$B$121,$B20)</f>
        <v>4</v>
      </c>
      <c r="D20" s="0" t="n">
        <f aca="false">SUMIFS('Cleaned Data'!$E$2:$E$121,'Cleaned Data'!$B$2:$B$121,$B20,'Cleaned Data'!$G$2:$G$121,"Completed")</f>
        <v>2926</v>
      </c>
    </row>
    <row r="21" customFormat="false" ht="15" hidden="false" customHeight="false" outlineLevel="0" collapsed="false">
      <c r="B21" s="0" t="s">
        <v>323</v>
      </c>
      <c r="C21" s="0" t="n">
        <f aca="false">COUNTIF('Cleaned Data'!$B$2:$B$121,$B21)</f>
        <v>1</v>
      </c>
      <c r="D21" s="0" t="n">
        <f aca="false">SUMIFS('Cleaned Data'!$E$2:$E$121,'Cleaned Data'!$B$2:$B$121,$B21,'Cleaned Data'!$G$2:$G$121,"Completed")</f>
        <v>606</v>
      </c>
    </row>
    <row r="22" customFormat="false" ht="15" hidden="false" customHeight="false" outlineLevel="0" collapsed="false">
      <c r="B22" s="0" t="s">
        <v>322</v>
      </c>
      <c r="C22" s="0" t="n">
        <f aca="false">COUNTIF('Cleaned Data'!$B$2:$B$121,$B22)</f>
        <v>2</v>
      </c>
      <c r="D22" s="0" t="n">
        <f aca="false">SUMIFS('Cleaned Data'!$E$2:$E$121,'Cleaned Data'!$B$2:$B$121,$B22,'Cleaned Data'!$G$2:$G$121,"Completed")</f>
        <v>766</v>
      </c>
    </row>
    <row r="23" customFormat="false" ht="15" hidden="false" customHeight="false" outlineLevel="0" collapsed="false">
      <c r="B23" s="0" t="s">
        <v>313</v>
      </c>
      <c r="C23" s="0" t="n">
        <f aca="false">COUNTIF('Cleaned Data'!$B$2:$B$121,$B23)</f>
        <v>2</v>
      </c>
      <c r="D23" s="0" t="n">
        <f aca="false">SUMIFS('Cleaned Data'!$E$2:$E$121,'Cleaned Data'!$B$2:$B$121,$B23,'Cleaned Data'!$G$2:$G$121,"Completed")</f>
        <v>353</v>
      </c>
    </row>
    <row r="24" customFormat="false" ht="15" hidden="false" customHeight="false" outlineLevel="0" collapsed="false">
      <c r="B24" s="0" t="s">
        <v>318</v>
      </c>
      <c r="C24" s="0" t="n">
        <f aca="false">COUNTIF('Cleaned Data'!$B$2:$B$121,$B24)</f>
        <v>1</v>
      </c>
      <c r="D24" s="0" t="n">
        <f aca="false">SUMIFS('Cleaned Data'!$E$2:$E$121,'Cleaned Data'!$B$2:$B$121,$B24,'Cleaned Data'!$G$2:$G$121,"Completed")</f>
        <v>1057</v>
      </c>
    </row>
    <row r="25" customFormat="false" ht="15" hidden="false" customHeight="false" outlineLevel="0" collapsed="false">
      <c r="B25" s="0" t="s">
        <v>324</v>
      </c>
      <c r="C25" s="0" t="n">
        <f aca="false">COUNTIF('Cleaned Data'!$B$2:$B$121,$B25)</f>
        <v>3</v>
      </c>
      <c r="D25" s="0" t="n">
        <f aca="false">SUMIFS('Cleaned Data'!$E$2:$E$121,'Cleaned Data'!$B$2:$B$121,$B25,'Cleaned Data'!$G$2:$G$121,"Completed")</f>
        <v>2713</v>
      </c>
    </row>
    <row r="26" customFormat="false" ht="15" hidden="false" customHeight="false" outlineLevel="0" collapsed="false">
      <c r="B26" s="0" t="s">
        <v>300</v>
      </c>
      <c r="C26" s="0" t="n">
        <f aca="false">COUNTIF('Cleaned Data'!$B$2:$B$121,$B26)</f>
        <v>5</v>
      </c>
      <c r="D26" s="0" t="n">
        <f aca="false">SUMIFS('Cleaned Data'!$E$2:$E$121,'Cleaned Data'!$B$2:$B$121,$B26,'Cleaned Data'!$G$2:$G$121,"Completed")</f>
        <v>2641</v>
      </c>
    </row>
    <row r="27" customFormat="false" ht="15" hidden="false" customHeight="false" outlineLevel="0" collapsed="false">
      <c r="B27" s="0" t="s">
        <v>309</v>
      </c>
      <c r="C27" s="0" t="n">
        <f aca="false">COUNTIF('Cleaned Data'!$B$2:$B$121,$B27)</f>
        <v>5</v>
      </c>
      <c r="D27" s="0" t="n">
        <f aca="false">SUMIFS('Cleaned Data'!$E$2:$E$121,'Cleaned Data'!$B$2:$B$121,$B27,'Cleaned Data'!$G$2:$G$121,"Completed")</f>
        <v>3014</v>
      </c>
    </row>
    <row r="28" customFormat="false" ht="15" hidden="false" customHeight="false" outlineLevel="0" collapsed="false">
      <c r="B28" s="0" t="s">
        <v>317</v>
      </c>
      <c r="C28" s="0" t="n">
        <f aca="false">COUNTIF('Cleaned Data'!$B$2:$B$121,$B28)</f>
        <v>8</v>
      </c>
      <c r="D28" s="0" t="n">
        <f aca="false">SUMIFS('Cleaned Data'!$E$2:$E$121,'Cleaned Data'!$B$2:$B$121,$B28,'Cleaned Data'!$G$2:$G$121,"Completed")</f>
        <v>4346</v>
      </c>
    </row>
    <row r="29" customFormat="false" ht="15" hidden="false" customHeight="false" outlineLevel="0" collapsed="false">
      <c r="B29" s="0" t="s">
        <v>303</v>
      </c>
      <c r="C29" s="0" t="n">
        <f aca="false">COUNTIF('Cleaned Data'!$B$2:$B$121,$B29)</f>
        <v>3</v>
      </c>
      <c r="D29" s="0" t="n">
        <f aca="false">SUMIFS('Cleaned Data'!$E$2:$E$121,'Cleaned Data'!$B$2:$B$121,$B29,'Cleaned Data'!$G$2:$G$121,"Completed")</f>
        <v>1779</v>
      </c>
    </row>
    <row r="30" customFormat="false" ht="15" hidden="false" customHeight="false" outlineLevel="0" collapsed="false">
      <c r="B30" s="0" t="s">
        <v>298</v>
      </c>
      <c r="C30" s="0" t="n">
        <f aca="false">COUNTIF('Cleaned Data'!$B$2:$B$121,$B30)</f>
        <v>7</v>
      </c>
      <c r="D30" s="0" t="n">
        <f aca="false">SUMIFS('Cleaned Data'!$E$2:$E$121,'Cleaned Data'!$B$2:$B$121,$B30,'Cleaned Data'!$G$2:$G$121,"Completed")</f>
        <v>5482</v>
      </c>
    </row>
    <row r="31" customFormat="false" ht="15" hidden="false" customHeight="false" outlineLevel="0" collapsed="false">
      <c r="B31" s="0" t="s">
        <v>312</v>
      </c>
      <c r="C31" s="0" t="n">
        <f aca="false">COUNTIF('Cleaned Data'!$B$2:$B$121,$B31)</f>
        <v>5</v>
      </c>
      <c r="D31" s="0" t="n">
        <f aca="false">SUMIFS('Cleaned Data'!$E$2:$E$121,'Cleaned Data'!$B$2:$B$121,$B31,'Cleaned Data'!$G$2:$G$121,"Completed")</f>
        <v>2044</v>
      </c>
    </row>
    <row r="32" customFormat="false" ht="15" hidden="false" customHeight="false" outlineLevel="0" collapsed="false">
      <c r="B32" s="0" t="s">
        <v>306</v>
      </c>
      <c r="C32" s="0" t="n">
        <f aca="false">COUNTIF('Cleaned Data'!$B$2:$B$121,$B32)</f>
        <v>3</v>
      </c>
      <c r="D32" s="0" t="n">
        <f aca="false">SUMIFS('Cleaned Data'!$E$2:$E$121,'Cleaned Data'!$B$2:$B$121,$B32,'Cleaned Data'!$G$2:$G$121,"Completed")</f>
        <v>1882</v>
      </c>
    </row>
    <row r="33" customFormat="false" ht="15" hidden="false" customHeight="false" outlineLevel="0" collapsed="false">
      <c r="B33" s="0" t="s">
        <v>327</v>
      </c>
      <c r="C33" s="0" t="n">
        <f aca="false">COUNTIF('Cleaned Data'!$B$2:$B$121,$B33)</f>
        <v>2</v>
      </c>
      <c r="D33" s="0" t="n">
        <f aca="false">SUMIFS('Cleaned Data'!$E$2:$E$121,'Cleaned Data'!$B$2:$B$121,$B33,'Cleaned Data'!$G$2:$G$121,"Completed")</f>
        <v>1380</v>
      </c>
    </row>
    <row r="34" customFormat="false" ht="15" hidden="false" customHeight="false" outlineLevel="0" collapsed="false">
      <c r="B34" s="0" t="s">
        <v>302</v>
      </c>
      <c r="C34" s="0" t="n">
        <f aca="false">COUNTIF('Cleaned Data'!$B$2:$B$121,$B34)</f>
        <v>2</v>
      </c>
      <c r="D34" s="0" t="n">
        <f aca="false">SUMIFS('Cleaned Data'!$E$2:$E$121,'Cleaned Data'!$B$2:$B$121,$B34,'Cleaned Data'!$G$2:$G$121,"Completed")</f>
        <v>717</v>
      </c>
    </row>
    <row r="35" customFormat="false" ht="15" hidden="false" customHeight="false" outlineLevel="0" collapsed="false">
      <c r="B35" s="0" t="s">
        <v>301</v>
      </c>
      <c r="C35" s="0" t="n">
        <f aca="false">COUNTIF('Cleaned Data'!$B$2:$B$121,$B35)</f>
        <v>7</v>
      </c>
      <c r="D35" s="0" t="n">
        <f aca="false">SUMIFS('Cleaned Data'!$E$2:$E$121,'Cleaned Data'!$B$2:$B$121,$B35,'Cleaned Data'!$G$2:$G$121,"Completed")</f>
        <v>5139</v>
      </c>
    </row>
    <row r="36" customFormat="false" ht="15" hidden="false" customHeight="false" outlineLevel="0" collapsed="false">
      <c r="B36" s="0" t="s">
        <v>321</v>
      </c>
      <c r="C36" s="0" t="n">
        <f aca="false">COUNTIF('Cleaned Data'!$B$2:$B$121,$B36)</f>
        <v>2</v>
      </c>
      <c r="D36" s="0" t="n">
        <f aca="false">SUMIFS('Cleaned Data'!$E$2:$E$121,'Cleaned Data'!$B$2:$B$121,$B36,'Cleaned Data'!$G$2:$G$121,"Completed")</f>
        <v>1402</v>
      </c>
    </row>
    <row r="37" customFormat="false" ht="15" hidden="false" customHeight="false" outlineLevel="0" collapsed="false">
      <c r="B37" s="0" t="s">
        <v>326</v>
      </c>
      <c r="C37" s="0" t="n">
        <f aca="false">COUNTIF('Cleaned Data'!$B$2:$B$121,$B37)</f>
        <v>3</v>
      </c>
      <c r="D37" s="0" t="n">
        <f aca="false">SUMIFS('Cleaned Data'!$E$2:$E$121,'Cleaned Data'!$B$2:$B$121,$B37,'Cleaned Data'!$G$2:$G$121,"Completed")</f>
        <v>1870</v>
      </c>
    </row>
    <row r="38" customFormat="false" ht="15" hidden="false" customHeight="false" outlineLevel="0" collapsed="false">
      <c r="B38" s="0" t="s">
        <v>308</v>
      </c>
      <c r="C38" s="0" t="n">
        <f aca="false">COUNTIF('Cleaned Data'!$B$2:$B$121,$B38)</f>
        <v>4</v>
      </c>
      <c r="D38" s="0" t="n">
        <f aca="false">SUMIFS('Cleaned Data'!$E$2:$E$121,'Cleaned Data'!$B$2:$B$121,$B38,'Cleaned Data'!$G$2:$G$121,"Completed")</f>
        <v>661</v>
      </c>
    </row>
    <row r="39" customFormat="false" ht="15" hidden="false" customHeight="false" outlineLevel="0" collapsed="false">
      <c r="B39" s="0" t="s">
        <v>307</v>
      </c>
      <c r="C39" s="0" t="n">
        <f aca="false">COUNTIF('Cleaned Data'!$B$2:$B$121,$B39)</f>
        <v>5</v>
      </c>
      <c r="D39" s="0" t="n">
        <f aca="false">SUMIFS('Cleaned Data'!$E$2:$E$121,'Cleaned Data'!$B$2:$B$121,$B39,'Cleaned Data'!$G$2:$G$121,"Completed")</f>
        <v>2106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7" hidden="false" customHeight="false" outlineLevel="0" collapsed="false">
      <c r="B2" s="8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8" t="s">
        <v>343</v>
      </c>
    </row>
    <row r="4" customFormat="false" ht="30" hidden="false" customHeight="true" outlineLevel="0" collapsed="false">
      <c r="B4" s="9" t="s">
        <v>344</v>
      </c>
    </row>
    <row r="5" customFormat="false" ht="30" hidden="false" customHeight="true" outlineLevel="0" collapsed="false">
      <c r="B5" s="9" t="s">
        <v>345</v>
      </c>
    </row>
    <row r="6" customFormat="false" ht="30" hidden="false" customHeight="true" outlineLevel="0" collapsed="false">
      <c r="B6" s="9" t="s">
        <v>346</v>
      </c>
    </row>
    <row r="7" customFormat="false" ht="30" hidden="false" customHeight="true" outlineLevel="0" collapsed="false">
      <c r="B7" s="9" t="s">
        <v>347</v>
      </c>
    </row>
    <row r="8" customFormat="false" ht="30" hidden="false" customHeight="true" outlineLevel="0" collapsed="false">
      <c r="B8" s="9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2026-09-08T10:26:21Z</dcterms:created>
  <dc:creator>openpyxl</dc:creator>
  <dc:description/>
  <dc:language>en-US</dc:language>
  <cp:lastModifiedBy/>
  <dcterms:modified xsi:type="dcterms:W3CDTF">2026-09-08T10:26:36Z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